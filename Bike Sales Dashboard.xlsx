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788\Desktop\Data Analysis Courses\Project\"/>
    </mc:Choice>
  </mc:AlternateContent>
  <xr:revisionPtr revIDLastSave="0" documentId="13_ncr:1_{4A76D3C4-DE86-4ED9-B8AB-ABB228244BBF}" xr6:coauthVersionLast="47" xr6:coauthVersionMax="47" xr10:uidLastSave="{00000000-0000-0000-0000-000000000000}"/>
  <bookViews>
    <workbookView xWindow="-108" yWindow="-108" windowWidth="23256" windowHeight="12456" activeTab="3" xr2:uid="{3CFF67A3-F2A9-47CF-8725-E0530D74186C}"/>
  </bookViews>
  <sheets>
    <sheet name="Bike Buyer" sheetId="1" r:id="rId1"/>
    <sheet name="Working Sheet" sheetId="2" r:id="rId2"/>
    <sheet name="Pivot Report" sheetId="3" r:id="rId3"/>
    <sheet name="Dashboard" sheetId="4" r:id="rId4"/>
  </sheets>
  <definedNames>
    <definedName name="Slicer_Children">#N/A</definedName>
    <definedName name="Slicer_Education">#N/A</definedName>
    <definedName name="Slicer_Gender">#N/A</definedName>
    <definedName name="Slicer_Marital_Status">#N/A</definedName>
    <definedName name="Slicer_Region">#N/A</definedName>
  </definedNames>
  <calcPr calcId="18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<sst xmlns="http://schemas.openxmlformats.org/spreadsheetml/2006/main" count="16265" uniqueCount="51">
  <si>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</si>
  <si>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</si>
  <si>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</si>
  <si>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</si>
  <si>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</si>
  <si>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</si>
  <si>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</si>
  <si>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</si>
  <si>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</si>
  <si>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</si>
  <si>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</si>
  <si>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</si>
  <si>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</si>
  <si>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</si>
  <si>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</si>
  <si>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</si>
  <si>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</si>
  <si>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</si>
  <si>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</si>
  <si>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</si>
  <si>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</si>
  <si>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</si>
  <si>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</si>
  <si>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</si>
  <si>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</si>
  <si>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</si>
  <si>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</si>
  <si>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</si>
  <si>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</si>
  <si>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</si>
  <si>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</si>
  <si>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</si>
  <si>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</si>
  <si>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</si>
  <si>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</si>
  <si>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</si>
  <si>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</si>
  <si>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</si>
  <si>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</si>
  <si>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</si>
  <si>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</si>
  <si>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</si>
  <si>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Row Labels</t>
  </si>
  <si>
    <t>Grand Total</t>
  </si>
  <si>
    <t>Average of Income</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</si>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</sst>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409]* #,##0.00_);_([$$-409]* \(#,##0.00\);_([$$-409]* &quot;-&quot;??_);_(@_)"/>
  </numFmts>
  <fonts count="4" x14ac:knownFonts="1">
    <font>
      <sz val="11"/>
      <color theme="1"/>
      <name val="Calibri"/>
      <family val="2"/>
      <scheme val="minor"/>
    </font>
    <font>
      <u/>
      <sz val="11"/>
      <color theme="1"/>
      <name val="Calibri"/>
      <family val="2"/>
      <scheme val="minor"/>
    </font>
    <font>
      <b/>
      <sz val="48"/>
      <color theme="0"/>
      <name val="Helvetica"/>
      <family val="2"/>
    </font>
    <font>
      <sz val="11"/>
      <color theme="9" tint="-0.499984740745262"/>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3" borderId="0" xfId="0" applyFill="1"/>
  </cellXfs>
  <cellStyles count="1">
    <cellStyle name="Normal" xfId="0" builtinId="0"/>
  </cellStyles>
  <dxfs count="6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numFmt numFmtId="1" formatCode="0"/>
    </dxf>
    <dxf>
      <numFmt numFmtId="1" formatCode="0"/>
    </dxf>
    <dxf>
      <numFmt numFmtId="1" formatCode="0"/>
    </dxf>
    <dxf>
      <font>
        <b/>
        <color theme="1"/>
      </font>
      <border>
        <bottom style="thin">
          <color theme="4"/>
        </bottom>
        <vertical/>
        <horizontal/>
      </border>
    </dxf>
    <dxf>
      <numFmt numFmtId="1" formatCode="0"/>
    </dxf>
    <dxf>
      <numFmt numFmtId="1" formatCode="0"/>
    </dxf>
  </dxfs>
  <tableStyles count="2" defaultTableStyle="TableStyleMedium2" defaultPivotStyle="PivotStyleLight16">
    <tableStyle name="SlicerStyleDark1 2" pivot="0" table="0" count="9" xr9:uid="{C2B9E979-CF0A-4F9D-B06C-62D09E52CE20}">
      <tableStyleElement type="headerRow" dxfId="55"/>
    </tableStyle>
    <tableStyle name="SlicerStyleLight1 2" pivot="0" table="0" count="9" xr9:uid="{6EEEDBED-A726-44BB-876B-1811212A6687}">
      <tableStyleElement type="headerRow" dxfId="5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Report'!$B$3:$B$4</c:f>
              <c:strCache>
                <c:ptCount val="1"/>
                <c:pt idx="0">
                  <c:v>No</c:v>
                </c:pt>
              </c:strCache>
            </c:strRef>
          </c:tx>
          <c:spPr>
            <a:solidFill>
              <a:schemeClr val="accent1"/>
            </a:solidFill>
            <a:ln>
              <a:noFill/>
            </a:ln>
            <a:effectLst/>
          </c:spPr>
          <c:invertIfNegative val="0"/>
          <c:cat>
            <c:strRef>
              <c:f>'Pivot Report'!$A$5:$A$6</c:f>
              <c:strCache>
                <c:ptCount val="1"/>
                <c:pt idx="0">
                  <c:v>Male</c:v>
                </c:pt>
              </c:strCache>
            </c:strRef>
          </c:cat>
          <c:val>
            <c:numRef>
              <c:f>'Pivot Report'!$B$5:$B$6</c:f>
              <c:numCache>
                <c:formatCode>0</c:formatCode>
                <c:ptCount val="1"/>
                <c:pt idx="0">
                  <c:v>56097.560975609755</c:v>
                </c:pt>
              </c:numCache>
            </c:numRef>
          </c:val>
          <c:extLst>
            <c:ext xmlns:c16="http://schemas.microsoft.com/office/drawing/2014/chart" uri="{C3380CC4-5D6E-409C-BE32-E72D297353CC}">
              <c16:uniqueId val="{00000000-A375-4724-88B9-48B60038FD6A}"/>
            </c:ext>
          </c:extLst>
        </c:ser>
        <c:ser>
          <c:idx val="1"/>
          <c:order val="1"/>
          <c:tx>
            <c:strRef>
              <c:f>'Pivot Report'!$C$3:$C$4</c:f>
              <c:strCache>
                <c:ptCount val="1"/>
                <c:pt idx="0">
                  <c:v>Yes</c:v>
                </c:pt>
              </c:strCache>
            </c:strRef>
          </c:tx>
          <c:spPr>
            <a:solidFill>
              <a:schemeClr val="accent2"/>
            </a:solidFill>
            <a:ln>
              <a:noFill/>
            </a:ln>
            <a:effectLst/>
          </c:spPr>
          <c:invertIfNegative val="0"/>
          <c:cat>
            <c:strRef>
              <c:f>'Pivot Report'!$A$5:$A$6</c:f>
              <c:strCache>
                <c:ptCount val="1"/>
                <c:pt idx="0">
                  <c:v>Male</c:v>
                </c:pt>
              </c:strCache>
            </c:strRef>
          </c:cat>
          <c:val>
            <c:numRef>
              <c:f>'Pivot Report'!$C$5:$C$6</c:f>
              <c:numCache>
                <c:formatCode>0</c:formatCode>
                <c:ptCount val="1"/>
                <c:pt idx="0">
                  <c:v>54782.608695652176</c:v>
                </c:pt>
              </c:numCache>
            </c:numRef>
          </c:val>
          <c:extLst>
            <c:ext xmlns:c16="http://schemas.microsoft.com/office/drawing/2014/chart" uri="{C3380CC4-5D6E-409C-BE32-E72D297353CC}">
              <c16:uniqueId val="{00000001-A375-4724-88B9-48B60038FD6A}"/>
            </c:ext>
          </c:extLst>
        </c:ser>
        <c:dLbls>
          <c:showLegendKey val="0"/>
          <c:showVal val="0"/>
          <c:showCatName val="0"/>
          <c:showSerName val="0"/>
          <c:showPercent val="0"/>
          <c:showBubbleSize val="0"/>
        </c:dLbls>
        <c:gapWidth val="219"/>
        <c:overlap val="-27"/>
        <c:axId val="1254967951"/>
        <c:axId val="1254978991"/>
      </c:barChart>
      <c:catAx>
        <c:axId val="125496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78991"/>
        <c:crosses val="autoZero"/>
        <c:auto val="1"/>
        <c:lblAlgn val="ctr"/>
        <c:lblOffset val="100"/>
        <c:noMultiLvlLbl val="0"/>
      </c:catAx>
      <c:valAx>
        <c:axId val="125497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6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Report!PivotTable2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Report'!$B$19:$B$20</c:f>
              <c:strCache>
                <c:ptCount val="1"/>
                <c:pt idx="0">
                  <c:v>No</c:v>
                </c:pt>
              </c:strCache>
            </c:strRef>
          </c:tx>
          <c:spPr>
            <a:ln w="28575" cap="rnd">
              <a:solidFill>
                <a:schemeClr val="accent1"/>
              </a:solidFill>
              <a:round/>
            </a:ln>
            <a:effectLst/>
          </c:spPr>
          <c:marker>
            <c:symbol val="none"/>
          </c:marker>
          <c:cat>
            <c:strRef>
              <c:f>'Pivot Report'!$A$21:$A$25</c:f>
              <c:strCache>
                <c:ptCount val="4"/>
                <c:pt idx="0">
                  <c:v>0-1 Miles</c:v>
                </c:pt>
                <c:pt idx="1">
                  <c:v>1-2 Miles</c:v>
                </c:pt>
                <c:pt idx="2">
                  <c:v>2-5 Miles</c:v>
                </c:pt>
                <c:pt idx="3">
                  <c:v>5-10 Miles</c:v>
                </c:pt>
              </c:strCache>
            </c:strRef>
          </c:cat>
          <c:val>
            <c:numRef>
              <c:f>'Pivot Report'!$B$21:$B$25</c:f>
              <c:numCache>
                <c:formatCode>0</c:formatCode>
                <c:ptCount val="4"/>
                <c:pt idx="0">
                  <c:v>28</c:v>
                </c:pt>
                <c:pt idx="1">
                  <c:v>4</c:v>
                </c:pt>
                <c:pt idx="2">
                  <c:v>4</c:v>
                </c:pt>
                <c:pt idx="3">
                  <c:v>5</c:v>
                </c:pt>
              </c:numCache>
            </c:numRef>
          </c:val>
          <c:smooth val="0"/>
          <c:extLst>
            <c:ext xmlns:c16="http://schemas.microsoft.com/office/drawing/2014/chart" uri="{C3380CC4-5D6E-409C-BE32-E72D297353CC}">
              <c16:uniqueId val="{00000000-C6BC-4796-9A8F-801C2AF53D45}"/>
            </c:ext>
          </c:extLst>
        </c:ser>
        <c:ser>
          <c:idx val="1"/>
          <c:order val="1"/>
          <c:tx>
            <c:strRef>
              <c:f>'Pivot Report'!$C$19:$C$20</c:f>
              <c:strCache>
                <c:ptCount val="1"/>
                <c:pt idx="0">
                  <c:v>Yes</c:v>
                </c:pt>
              </c:strCache>
            </c:strRef>
          </c:tx>
          <c:spPr>
            <a:ln w="28575" cap="rnd">
              <a:solidFill>
                <a:schemeClr val="accent2"/>
              </a:solidFill>
              <a:round/>
            </a:ln>
            <a:effectLst/>
          </c:spPr>
          <c:marker>
            <c:symbol val="none"/>
          </c:marker>
          <c:cat>
            <c:strRef>
              <c:f>'Pivot Report'!$A$21:$A$25</c:f>
              <c:strCache>
                <c:ptCount val="4"/>
                <c:pt idx="0">
                  <c:v>0-1 Miles</c:v>
                </c:pt>
                <c:pt idx="1">
                  <c:v>1-2 Miles</c:v>
                </c:pt>
                <c:pt idx="2">
                  <c:v>2-5 Miles</c:v>
                </c:pt>
                <c:pt idx="3">
                  <c:v>5-10 Miles</c:v>
                </c:pt>
              </c:strCache>
            </c:strRef>
          </c:cat>
          <c:val>
            <c:numRef>
              <c:f>'Pivot Report'!$C$21:$C$25</c:f>
              <c:numCache>
                <c:formatCode>0</c:formatCode>
                <c:ptCount val="4"/>
                <c:pt idx="0">
                  <c:v>26</c:v>
                </c:pt>
                <c:pt idx="1">
                  <c:v>5</c:v>
                </c:pt>
                <c:pt idx="2">
                  <c:v>11</c:v>
                </c:pt>
                <c:pt idx="3">
                  <c:v>4</c:v>
                </c:pt>
              </c:numCache>
            </c:numRef>
          </c:val>
          <c:smooth val="0"/>
          <c:extLst>
            <c:ext xmlns:c16="http://schemas.microsoft.com/office/drawing/2014/chart" uri="{C3380CC4-5D6E-409C-BE32-E72D297353CC}">
              <c16:uniqueId val="{00000001-C6BC-4796-9A8F-801C2AF53D45}"/>
            </c:ext>
          </c:extLst>
        </c:ser>
        <c:dLbls>
          <c:showLegendKey val="0"/>
          <c:showVal val="0"/>
          <c:showCatName val="0"/>
          <c:showSerName val="0"/>
          <c:showPercent val="0"/>
          <c:showBubbleSize val="0"/>
        </c:dLbls>
        <c:smooth val="0"/>
        <c:axId val="1255002511"/>
        <c:axId val="1254998191"/>
      </c:lineChart>
      <c:catAx>
        <c:axId val="12550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98191"/>
        <c:crosses val="autoZero"/>
        <c:auto val="1"/>
        <c:lblAlgn val="ctr"/>
        <c:lblOffset val="100"/>
        <c:noMultiLvlLbl val="0"/>
      </c:catAx>
      <c:valAx>
        <c:axId val="1254998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Report!PivotTable3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Report'!$B$35:$B$36</c:f>
              <c:strCache>
                <c:ptCount val="1"/>
                <c:pt idx="0">
                  <c:v>No</c:v>
                </c:pt>
              </c:strCache>
            </c:strRef>
          </c:tx>
          <c:spPr>
            <a:ln w="28575" cap="rnd">
              <a:solidFill>
                <a:schemeClr val="accent1"/>
              </a:solidFill>
              <a:round/>
            </a:ln>
            <a:effectLst/>
          </c:spPr>
          <c:marker>
            <c:symbol val="none"/>
          </c:marker>
          <c:cat>
            <c:strRef>
              <c:f>'Pivot Report'!$A$37:$A$40</c:f>
              <c:strCache>
                <c:ptCount val="3"/>
                <c:pt idx="0">
                  <c:v>Adolescent</c:v>
                </c:pt>
                <c:pt idx="1">
                  <c:v>Middle Age</c:v>
                </c:pt>
                <c:pt idx="2">
                  <c:v>Old</c:v>
                </c:pt>
              </c:strCache>
            </c:strRef>
          </c:cat>
          <c:val>
            <c:numRef>
              <c:f>'Pivot Report'!$B$37:$B$40</c:f>
              <c:numCache>
                <c:formatCode>0</c:formatCode>
                <c:ptCount val="3"/>
                <c:pt idx="1">
                  <c:v>36</c:v>
                </c:pt>
                <c:pt idx="2">
                  <c:v>5</c:v>
                </c:pt>
              </c:numCache>
            </c:numRef>
          </c:val>
          <c:smooth val="0"/>
          <c:extLst>
            <c:ext xmlns:c16="http://schemas.microsoft.com/office/drawing/2014/chart" uri="{C3380CC4-5D6E-409C-BE32-E72D297353CC}">
              <c16:uniqueId val="{00000000-D74F-4E44-BBCB-7A7CD1988A6B}"/>
            </c:ext>
          </c:extLst>
        </c:ser>
        <c:ser>
          <c:idx val="1"/>
          <c:order val="1"/>
          <c:tx>
            <c:strRef>
              <c:f>'Pivot Report'!$C$35:$C$36</c:f>
              <c:strCache>
                <c:ptCount val="1"/>
                <c:pt idx="0">
                  <c:v>Yes</c:v>
                </c:pt>
              </c:strCache>
            </c:strRef>
          </c:tx>
          <c:spPr>
            <a:ln w="28575" cap="rnd">
              <a:solidFill>
                <a:schemeClr val="accent2"/>
              </a:solidFill>
              <a:round/>
            </a:ln>
            <a:effectLst/>
          </c:spPr>
          <c:marker>
            <c:symbol val="none"/>
          </c:marker>
          <c:cat>
            <c:strRef>
              <c:f>'Pivot Report'!$A$37:$A$40</c:f>
              <c:strCache>
                <c:ptCount val="3"/>
                <c:pt idx="0">
                  <c:v>Adolescent</c:v>
                </c:pt>
                <c:pt idx="1">
                  <c:v>Middle Age</c:v>
                </c:pt>
                <c:pt idx="2">
                  <c:v>Old</c:v>
                </c:pt>
              </c:strCache>
            </c:strRef>
          </c:cat>
          <c:val>
            <c:numRef>
              <c:f>'Pivot Report'!$C$37:$C$40</c:f>
              <c:numCache>
                <c:formatCode>0</c:formatCode>
                <c:ptCount val="3"/>
                <c:pt idx="0">
                  <c:v>1</c:v>
                </c:pt>
                <c:pt idx="1">
                  <c:v>41</c:v>
                </c:pt>
                <c:pt idx="2">
                  <c:v>4</c:v>
                </c:pt>
              </c:numCache>
            </c:numRef>
          </c:val>
          <c:smooth val="0"/>
          <c:extLst>
            <c:ext xmlns:c16="http://schemas.microsoft.com/office/drawing/2014/chart" uri="{C3380CC4-5D6E-409C-BE32-E72D297353CC}">
              <c16:uniqueId val="{00000001-D74F-4E44-BBCB-7A7CD1988A6B}"/>
            </c:ext>
          </c:extLst>
        </c:ser>
        <c:dLbls>
          <c:showLegendKey val="0"/>
          <c:showVal val="0"/>
          <c:showCatName val="0"/>
          <c:showSerName val="0"/>
          <c:showPercent val="0"/>
          <c:showBubbleSize val="0"/>
        </c:dLbls>
        <c:smooth val="0"/>
        <c:axId val="1255020271"/>
        <c:axId val="1255021231"/>
      </c:lineChart>
      <c:catAx>
        <c:axId val="125502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21231"/>
        <c:crosses val="autoZero"/>
        <c:auto val="1"/>
        <c:lblAlgn val="ctr"/>
        <c:lblOffset val="100"/>
        <c:noMultiLvlLbl val="0"/>
      </c:catAx>
      <c:valAx>
        <c:axId val="125502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Report!PivotTable1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Report'!$B$3:$B$4</c:f>
              <c:strCache>
                <c:ptCount val="1"/>
                <c:pt idx="0">
                  <c:v>No</c:v>
                </c:pt>
              </c:strCache>
            </c:strRef>
          </c:tx>
          <c:spPr>
            <a:solidFill>
              <a:schemeClr val="accent1"/>
            </a:solidFill>
            <a:ln>
              <a:noFill/>
            </a:ln>
            <a:effectLst/>
          </c:spPr>
          <c:invertIfNegative val="0"/>
          <c:cat>
            <c:strRef>
              <c:f>'Pivot Report'!$A$5:$A$6</c:f>
              <c:strCache>
                <c:ptCount val="1"/>
                <c:pt idx="0">
                  <c:v>Male</c:v>
                </c:pt>
              </c:strCache>
            </c:strRef>
          </c:cat>
          <c:val>
            <c:numRef>
              <c:f>'Pivot Report'!$B$5:$B$6</c:f>
              <c:numCache>
                <c:formatCode>0</c:formatCode>
                <c:ptCount val="1"/>
                <c:pt idx="0">
                  <c:v>56097.560975609755</c:v>
                </c:pt>
              </c:numCache>
            </c:numRef>
          </c:val>
          <c:extLst>
            <c:ext xmlns:c16="http://schemas.microsoft.com/office/drawing/2014/chart" uri="{C3380CC4-5D6E-409C-BE32-E72D297353CC}">
              <c16:uniqueId val="{00000000-B805-4364-837A-2957B3CF8892}"/>
            </c:ext>
          </c:extLst>
        </c:ser>
        <c:ser>
          <c:idx val="1"/>
          <c:order val="1"/>
          <c:tx>
            <c:strRef>
              <c:f>'Pivot Report'!$C$3:$C$4</c:f>
              <c:strCache>
                <c:ptCount val="1"/>
                <c:pt idx="0">
                  <c:v>Yes</c:v>
                </c:pt>
              </c:strCache>
            </c:strRef>
          </c:tx>
          <c:spPr>
            <a:solidFill>
              <a:schemeClr val="accent2"/>
            </a:solidFill>
            <a:ln>
              <a:noFill/>
            </a:ln>
            <a:effectLst/>
          </c:spPr>
          <c:invertIfNegative val="0"/>
          <c:cat>
            <c:strRef>
              <c:f>'Pivot Report'!$A$5:$A$6</c:f>
              <c:strCache>
                <c:ptCount val="1"/>
                <c:pt idx="0">
                  <c:v>Male</c:v>
                </c:pt>
              </c:strCache>
            </c:strRef>
          </c:cat>
          <c:val>
            <c:numRef>
              <c:f>'Pivot Report'!$C$5:$C$6</c:f>
              <c:numCache>
                <c:formatCode>0</c:formatCode>
                <c:ptCount val="1"/>
                <c:pt idx="0">
                  <c:v>54782.608695652176</c:v>
                </c:pt>
              </c:numCache>
            </c:numRef>
          </c:val>
          <c:extLst>
            <c:ext xmlns:c16="http://schemas.microsoft.com/office/drawing/2014/chart" uri="{C3380CC4-5D6E-409C-BE32-E72D297353CC}">
              <c16:uniqueId val="{00000001-B805-4364-837A-2957B3CF8892}"/>
            </c:ext>
          </c:extLst>
        </c:ser>
        <c:dLbls>
          <c:showLegendKey val="0"/>
          <c:showVal val="0"/>
          <c:showCatName val="0"/>
          <c:showSerName val="0"/>
          <c:showPercent val="0"/>
          <c:showBubbleSize val="0"/>
        </c:dLbls>
        <c:gapWidth val="219"/>
        <c:overlap val="-27"/>
        <c:axId val="1254967951"/>
        <c:axId val="1254978991"/>
      </c:barChart>
      <c:catAx>
        <c:axId val="125496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78991"/>
        <c:crosses val="autoZero"/>
        <c:auto val="1"/>
        <c:lblAlgn val="ctr"/>
        <c:lblOffset val="100"/>
        <c:noMultiLvlLbl val="0"/>
      </c:catAx>
      <c:valAx>
        <c:axId val="125497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67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Report!PivotTable2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Report'!$B$19:$B$20</c:f>
              <c:strCache>
                <c:ptCount val="1"/>
                <c:pt idx="0">
                  <c:v>No</c:v>
                </c:pt>
              </c:strCache>
            </c:strRef>
          </c:tx>
          <c:spPr>
            <a:ln w="28575" cap="rnd">
              <a:solidFill>
                <a:schemeClr val="accent1"/>
              </a:solidFill>
              <a:round/>
            </a:ln>
            <a:effectLst/>
          </c:spPr>
          <c:marker>
            <c:symbol val="none"/>
          </c:marker>
          <c:cat>
            <c:strRef>
              <c:f>'Pivot Report'!$A$21:$A$25</c:f>
              <c:strCache>
                <c:ptCount val="4"/>
                <c:pt idx="0">
                  <c:v>0-1 Miles</c:v>
                </c:pt>
                <c:pt idx="1">
                  <c:v>1-2 Miles</c:v>
                </c:pt>
                <c:pt idx="2">
                  <c:v>2-5 Miles</c:v>
                </c:pt>
                <c:pt idx="3">
                  <c:v>5-10 Miles</c:v>
                </c:pt>
              </c:strCache>
            </c:strRef>
          </c:cat>
          <c:val>
            <c:numRef>
              <c:f>'Pivot Report'!$B$21:$B$25</c:f>
              <c:numCache>
                <c:formatCode>0</c:formatCode>
                <c:ptCount val="4"/>
                <c:pt idx="0">
                  <c:v>28</c:v>
                </c:pt>
                <c:pt idx="1">
                  <c:v>4</c:v>
                </c:pt>
                <c:pt idx="2">
                  <c:v>4</c:v>
                </c:pt>
                <c:pt idx="3">
                  <c:v>5</c:v>
                </c:pt>
              </c:numCache>
            </c:numRef>
          </c:val>
          <c:smooth val="0"/>
          <c:extLst>
            <c:ext xmlns:c16="http://schemas.microsoft.com/office/drawing/2014/chart" uri="{C3380CC4-5D6E-409C-BE32-E72D297353CC}">
              <c16:uniqueId val="{00000000-4659-42BE-8745-741D1FE12C4A}"/>
            </c:ext>
          </c:extLst>
        </c:ser>
        <c:ser>
          <c:idx val="1"/>
          <c:order val="1"/>
          <c:tx>
            <c:strRef>
              <c:f>'Pivot Report'!$C$19:$C$20</c:f>
              <c:strCache>
                <c:ptCount val="1"/>
                <c:pt idx="0">
                  <c:v>Yes</c:v>
                </c:pt>
              </c:strCache>
            </c:strRef>
          </c:tx>
          <c:spPr>
            <a:ln w="28575" cap="rnd">
              <a:solidFill>
                <a:schemeClr val="accent2"/>
              </a:solidFill>
              <a:round/>
            </a:ln>
            <a:effectLst/>
          </c:spPr>
          <c:marker>
            <c:symbol val="none"/>
          </c:marker>
          <c:cat>
            <c:strRef>
              <c:f>'Pivot Report'!$A$21:$A$25</c:f>
              <c:strCache>
                <c:ptCount val="4"/>
                <c:pt idx="0">
                  <c:v>0-1 Miles</c:v>
                </c:pt>
                <c:pt idx="1">
                  <c:v>1-2 Miles</c:v>
                </c:pt>
                <c:pt idx="2">
                  <c:v>2-5 Miles</c:v>
                </c:pt>
                <c:pt idx="3">
                  <c:v>5-10 Miles</c:v>
                </c:pt>
              </c:strCache>
            </c:strRef>
          </c:cat>
          <c:val>
            <c:numRef>
              <c:f>'Pivot Report'!$C$21:$C$25</c:f>
              <c:numCache>
                <c:formatCode>0</c:formatCode>
                <c:ptCount val="4"/>
                <c:pt idx="0">
                  <c:v>26</c:v>
                </c:pt>
                <c:pt idx="1">
                  <c:v>5</c:v>
                </c:pt>
                <c:pt idx="2">
                  <c:v>11</c:v>
                </c:pt>
                <c:pt idx="3">
                  <c:v>4</c:v>
                </c:pt>
              </c:numCache>
            </c:numRef>
          </c:val>
          <c:smooth val="0"/>
          <c:extLst>
            <c:ext xmlns:c16="http://schemas.microsoft.com/office/drawing/2014/chart" uri="{C3380CC4-5D6E-409C-BE32-E72D297353CC}">
              <c16:uniqueId val="{00000001-4659-42BE-8745-741D1FE12C4A}"/>
            </c:ext>
          </c:extLst>
        </c:ser>
        <c:dLbls>
          <c:showLegendKey val="0"/>
          <c:showVal val="0"/>
          <c:showCatName val="0"/>
          <c:showSerName val="0"/>
          <c:showPercent val="0"/>
          <c:showBubbleSize val="0"/>
        </c:dLbls>
        <c:smooth val="0"/>
        <c:axId val="1255002511"/>
        <c:axId val="1254998191"/>
      </c:lineChart>
      <c:catAx>
        <c:axId val="12550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98191"/>
        <c:crosses val="autoZero"/>
        <c:auto val="1"/>
        <c:lblAlgn val="ctr"/>
        <c:lblOffset val="100"/>
        <c:noMultiLvlLbl val="0"/>
      </c:catAx>
      <c:valAx>
        <c:axId val="1254998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Report!PivotTable3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Report'!$B$35:$B$36</c:f>
              <c:strCache>
                <c:ptCount val="1"/>
                <c:pt idx="0">
                  <c:v>No</c:v>
                </c:pt>
              </c:strCache>
            </c:strRef>
          </c:tx>
          <c:spPr>
            <a:ln w="28575" cap="rnd">
              <a:solidFill>
                <a:schemeClr val="accent1"/>
              </a:solidFill>
              <a:round/>
            </a:ln>
            <a:effectLst/>
          </c:spPr>
          <c:marker>
            <c:symbol val="none"/>
          </c:marker>
          <c:cat>
            <c:strRef>
              <c:f>'Pivot Report'!$A$37:$A$40</c:f>
              <c:strCache>
                <c:ptCount val="3"/>
                <c:pt idx="0">
                  <c:v>Adolescent</c:v>
                </c:pt>
                <c:pt idx="1">
                  <c:v>Middle Age</c:v>
                </c:pt>
                <c:pt idx="2">
                  <c:v>Old</c:v>
                </c:pt>
              </c:strCache>
            </c:strRef>
          </c:cat>
          <c:val>
            <c:numRef>
              <c:f>'Pivot Report'!$B$37:$B$40</c:f>
              <c:numCache>
                <c:formatCode>0</c:formatCode>
                <c:ptCount val="3"/>
                <c:pt idx="1">
                  <c:v>36</c:v>
                </c:pt>
                <c:pt idx="2">
                  <c:v>5</c:v>
                </c:pt>
              </c:numCache>
            </c:numRef>
          </c:val>
          <c:smooth val="0"/>
          <c:extLst>
            <c:ext xmlns:c16="http://schemas.microsoft.com/office/drawing/2014/chart" uri="{C3380CC4-5D6E-409C-BE32-E72D297353CC}">
              <c16:uniqueId val="{00000000-9E74-4109-B0D5-DE113920E4EA}"/>
            </c:ext>
          </c:extLst>
        </c:ser>
        <c:ser>
          <c:idx val="1"/>
          <c:order val="1"/>
          <c:tx>
            <c:strRef>
              <c:f>'Pivot Report'!$C$35:$C$36</c:f>
              <c:strCache>
                <c:ptCount val="1"/>
                <c:pt idx="0">
                  <c:v>Yes</c:v>
                </c:pt>
              </c:strCache>
            </c:strRef>
          </c:tx>
          <c:spPr>
            <a:ln w="28575" cap="rnd">
              <a:solidFill>
                <a:schemeClr val="accent2"/>
              </a:solidFill>
              <a:round/>
            </a:ln>
            <a:effectLst/>
          </c:spPr>
          <c:marker>
            <c:symbol val="none"/>
          </c:marker>
          <c:cat>
            <c:strRef>
              <c:f>'Pivot Report'!$A$37:$A$40</c:f>
              <c:strCache>
                <c:ptCount val="3"/>
                <c:pt idx="0">
                  <c:v>Adolescent</c:v>
                </c:pt>
                <c:pt idx="1">
                  <c:v>Middle Age</c:v>
                </c:pt>
                <c:pt idx="2">
                  <c:v>Old</c:v>
                </c:pt>
              </c:strCache>
            </c:strRef>
          </c:cat>
          <c:val>
            <c:numRef>
              <c:f>'Pivot Report'!$C$37:$C$40</c:f>
              <c:numCache>
                <c:formatCode>0</c:formatCode>
                <c:ptCount val="3"/>
                <c:pt idx="0">
                  <c:v>1</c:v>
                </c:pt>
                <c:pt idx="1">
                  <c:v>41</c:v>
                </c:pt>
                <c:pt idx="2">
                  <c:v>4</c:v>
                </c:pt>
              </c:numCache>
            </c:numRef>
          </c:val>
          <c:smooth val="0"/>
          <c:extLst>
            <c:ext xmlns:c16="http://schemas.microsoft.com/office/drawing/2014/chart" uri="{C3380CC4-5D6E-409C-BE32-E72D297353CC}">
              <c16:uniqueId val="{00000001-9E74-4109-B0D5-DE113920E4EA}"/>
            </c:ext>
          </c:extLst>
        </c:ser>
        <c:dLbls>
          <c:showLegendKey val="0"/>
          <c:showVal val="0"/>
          <c:showCatName val="0"/>
          <c:showSerName val="0"/>
          <c:showPercent val="0"/>
          <c:showBubbleSize val="0"/>
        </c:dLbls>
        <c:smooth val="0"/>
        <c:axId val="1255020271"/>
        <c:axId val="1255021231"/>
      </c:lineChart>
      <c:catAx>
        <c:axId val="125502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21231"/>
        <c:crosses val="autoZero"/>
        <c:auto val="1"/>
        <c:lblAlgn val="ctr"/>
        <c:lblOffset val="100"/>
        <c:noMultiLvlLbl val="0"/>
      </c:catAx>
      <c:valAx>
        <c:axId val="125502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251460</xdr:colOff>
      <xdr:row>0</xdr:row>
      <xdr:rowOff>0</xdr:rowOff>
    </xdr:from>
    <xdr:to>
      <xdr:col>11</xdr:col>
      <xdr:colOff>556260</xdr:colOff>
      <xdr:row>15</xdr:row>
      <xdr:rowOff>0</xdr:rowOff>
    </xdr:to>
    <xdr:graphicFrame macro="">
      <xdr:nvGraphicFramePr>
        <xdr:cNvPr id="2" name="Chart 1">
          <a:extLst>
            <a:ext uri="{FF2B5EF4-FFF2-40B4-BE49-F238E27FC236}">
              <a16:creationId xmlns:a16="http://schemas.microsoft.com/office/drawing/2014/main" id="{157AE4FB-D0C8-1D77-3073-EAD35B5A2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293370</xdr:colOff>
      <xdr:row>15</xdr:row>
      <xdr:rowOff>156210</xdr:rowOff>
    </xdr:from>
    <xdr:to>
      <xdr:col>11</xdr:col>
      <xdr:colOff>598170</xdr:colOff>
      <xdr:row>30</xdr:row>
      <xdr:rowOff>156210</xdr:rowOff>
    </xdr:to>
    <xdr:graphicFrame macro="">
      <xdr:nvGraphicFramePr>
        <xdr:cNvPr id="3" name="Chart 2">
          <a:extLst>
            <a:ext uri="{FF2B5EF4-FFF2-40B4-BE49-F238E27FC236}">
              <a16:creationId xmlns:a16="http://schemas.microsoft.com/office/drawing/2014/main" id="{A6631D65-7AB6-C0E3-E65F-BFBA6C9D2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118110</xdr:colOff>
      <xdr:row>31</xdr:row>
      <xdr:rowOff>102870</xdr:rowOff>
    </xdr:from>
    <xdr:to>
      <xdr:col>11</xdr:col>
      <xdr:colOff>422910</xdr:colOff>
      <xdr:row>46</xdr:row>
      <xdr:rowOff>102870</xdr:rowOff>
    </xdr:to>
    <xdr:graphicFrame macro="">
      <xdr:nvGraphicFramePr>
        <xdr:cNvPr id="4" name="Chart 3">
          <a:extLst>
            <a:ext uri="{FF2B5EF4-FFF2-40B4-BE49-F238E27FC236}">
              <a16:creationId xmlns:a16="http://schemas.microsoft.com/office/drawing/2014/main" id="{1BEABFE4-00BD-25E5-064E-CE44F8BE9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5</xdr:row>
      <xdr:rowOff>30480</xdr:rowOff>
    </xdr:from>
    <xdr:to>
      <xdr:col>9</xdr:col>
      <xdr:colOff>7620</xdr:colOff>
      <xdr:row>20</xdr:row>
      <xdr:rowOff>175260</xdr:rowOff>
    </xdr:to>
    <xdr:grpSp>
      <xdr:nvGrpSpPr>
        <xdr:cNvPr id="8" name="Group 7">
          <a:extLst>
            <a:ext uri="{FF2B5EF4-FFF2-40B4-BE49-F238E27FC236}">
              <a16:creationId xmlns:a16="http://schemas.microsoft.com/office/drawing/2014/main" id="{C9EF7A80-5641-982A-83CF-55B1064A33D7}"/>
            </a:ext>
          </a:extLst>
        </xdr:cNvPr>
        <xdr:cNvGrpSpPr/>
      </xdr:nvGrpSpPr>
      <xdr:grpSpPr>
        <a:xfrm>
          <a:off x="1752600" y="955766"/>
          <a:ext cx="3741420" cy="2920637"/>
          <a:chOff x="1752600" y="944880"/>
          <a:chExt cx="3741420" cy="2887980"/>
        </a:xfrm>
      </xdr:grpSpPr>
      <xdr:graphicFrame macro="">
        <xdr:nvGraphicFramePr>
          <xdr:cNvPr id="2" name="Chart 1">
            <a:extLst>
              <a:ext uri="{FF2B5EF4-FFF2-40B4-BE49-F238E27FC236}">
                <a16:creationId xmlns:a16="http://schemas.microsoft.com/office/drawing/2014/main" id="{2D7C56CB-4A92-46D7-AC41-6C361FAF91EA}"/>
              </a:ext>
            </a:extLst>
          </xdr:cNvPr>
          <xdr:cNvGraphicFramePr>
            <a:graphicFrameLocks/>
          </xdr:cNvGraphicFramePr>
        </xdr:nvGraphicFramePr>
        <xdr:xfrm>
          <a:off x="1927860" y="944880"/>
          <a:ext cx="3520440" cy="28575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angle: Rounded Corners 3">
            <a:extLst>
              <a:ext uri="{FF2B5EF4-FFF2-40B4-BE49-F238E27FC236}">
                <a16:creationId xmlns:a16="http://schemas.microsoft.com/office/drawing/2014/main" id="{EF3E455E-4F2A-5884-6D0D-77C945ACDB94}"/>
              </a:ext>
            </a:extLst>
          </xdr:cNvPr>
          <xdr:cNvSpPr/>
        </xdr:nvSpPr>
        <xdr:spPr>
          <a:xfrm>
            <a:off x="1752600" y="944880"/>
            <a:ext cx="3741420" cy="28879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510540</xdr:colOff>
      <xdr:row>21</xdr:row>
      <xdr:rowOff>76200</xdr:rowOff>
    </xdr:from>
    <xdr:to>
      <xdr:col>14</xdr:col>
      <xdr:colOff>601980</xdr:colOff>
      <xdr:row>38</xdr:row>
      <xdr:rowOff>76200</xdr:rowOff>
    </xdr:to>
    <xdr:grpSp>
      <xdr:nvGrpSpPr>
        <xdr:cNvPr id="10" name="Group 9">
          <a:extLst>
            <a:ext uri="{FF2B5EF4-FFF2-40B4-BE49-F238E27FC236}">
              <a16:creationId xmlns:a16="http://schemas.microsoft.com/office/drawing/2014/main" id="{18ED85BE-6644-FE2A-5CB9-215C4A16DBF4}"/>
            </a:ext>
          </a:extLst>
        </xdr:cNvPr>
        <xdr:cNvGrpSpPr/>
      </xdr:nvGrpSpPr>
      <xdr:grpSpPr>
        <a:xfrm>
          <a:off x="1729740" y="3962400"/>
          <a:ext cx="7406640" cy="3145971"/>
          <a:chOff x="1729740" y="3916680"/>
          <a:chExt cx="7406640" cy="3108960"/>
        </a:xfrm>
      </xdr:grpSpPr>
      <xdr:graphicFrame macro="">
        <xdr:nvGraphicFramePr>
          <xdr:cNvPr id="3" name="Chart 2">
            <a:extLst>
              <a:ext uri="{FF2B5EF4-FFF2-40B4-BE49-F238E27FC236}">
                <a16:creationId xmlns:a16="http://schemas.microsoft.com/office/drawing/2014/main" id="{C6F2B19A-335F-4D08-9709-64B8AF5670BB}"/>
              </a:ext>
            </a:extLst>
          </xdr:cNvPr>
          <xdr:cNvGraphicFramePr>
            <a:graphicFrameLocks/>
          </xdr:cNvGraphicFramePr>
        </xdr:nvGraphicFramePr>
        <xdr:xfrm>
          <a:off x="1920240" y="3954780"/>
          <a:ext cx="7216140" cy="29337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9" name="Rectangle: Rounded Corners 8">
            <a:extLst>
              <a:ext uri="{FF2B5EF4-FFF2-40B4-BE49-F238E27FC236}">
                <a16:creationId xmlns:a16="http://schemas.microsoft.com/office/drawing/2014/main" id="{F4F45C45-A9FD-721C-B98C-A941262C2BF7}"/>
              </a:ext>
            </a:extLst>
          </xdr:cNvPr>
          <xdr:cNvSpPr/>
        </xdr:nvSpPr>
        <xdr:spPr>
          <a:xfrm>
            <a:off x="1729740" y="3916680"/>
            <a:ext cx="7315200" cy="31089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129540</xdr:colOff>
      <xdr:row>5</xdr:row>
      <xdr:rowOff>30480</xdr:rowOff>
    </xdr:from>
    <xdr:to>
      <xdr:col>14</xdr:col>
      <xdr:colOff>571500</xdr:colOff>
      <xdr:row>20</xdr:row>
      <xdr:rowOff>175260</xdr:rowOff>
    </xdr:to>
    <xdr:grpSp>
      <xdr:nvGrpSpPr>
        <xdr:cNvPr id="12" name="Group 11">
          <a:extLst>
            <a:ext uri="{FF2B5EF4-FFF2-40B4-BE49-F238E27FC236}">
              <a16:creationId xmlns:a16="http://schemas.microsoft.com/office/drawing/2014/main" id="{2F6CB0AE-C57A-AC27-8D3C-B7C7E8C2CE45}"/>
            </a:ext>
          </a:extLst>
        </xdr:cNvPr>
        <xdr:cNvGrpSpPr/>
      </xdr:nvGrpSpPr>
      <xdr:grpSpPr>
        <a:xfrm>
          <a:off x="5615940" y="955766"/>
          <a:ext cx="3489960" cy="2920637"/>
          <a:chOff x="5615940" y="944880"/>
          <a:chExt cx="3489960" cy="2887980"/>
        </a:xfrm>
      </xdr:grpSpPr>
      <xdr:sp macro="" textlink="">
        <xdr:nvSpPr>
          <xdr:cNvPr id="6" name="Rectangle: Rounded Corners 5">
            <a:extLst>
              <a:ext uri="{FF2B5EF4-FFF2-40B4-BE49-F238E27FC236}">
                <a16:creationId xmlns:a16="http://schemas.microsoft.com/office/drawing/2014/main" id="{71F13D9F-EA17-4380-A5DE-BD3EAD9F8B7D}"/>
              </a:ext>
            </a:extLst>
          </xdr:cNvPr>
          <xdr:cNvSpPr/>
        </xdr:nvSpPr>
        <xdr:spPr>
          <a:xfrm>
            <a:off x="5615940" y="944880"/>
            <a:ext cx="3451860" cy="2887980"/>
          </a:xfrm>
          <a:prstGeom prst="roundRec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BF8398C5-9D68-4145-92B1-03CD6D026514}"/>
              </a:ext>
            </a:extLst>
          </xdr:cNvPr>
          <xdr:cNvGraphicFramePr>
            <a:graphicFrameLocks/>
          </xdr:cNvGraphicFramePr>
        </xdr:nvGraphicFramePr>
        <xdr:xfrm>
          <a:off x="5768340" y="944880"/>
          <a:ext cx="3337560" cy="28498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68580</xdr:colOff>
      <xdr:row>5</xdr:row>
      <xdr:rowOff>53340</xdr:rowOff>
    </xdr:from>
    <xdr:to>
      <xdr:col>2</xdr:col>
      <xdr:colOff>495300</xdr:colOff>
      <xdr:row>10</xdr:row>
      <xdr:rowOff>137160</xdr:rowOff>
    </xdr:to>
    <xdr:grpSp>
      <xdr:nvGrpSpPr>
        <xdr:cNvPr id="17" name="Group 16">
          <a:extLst>
            <a:ext uri="{FF2B5EF4-FFF2-40B4-BE49-F238E27FC236}">
              <a16:creationId xmlns:a16="http://schemas.microsoft.com/office/drawing/2014/main" id="{DE9755E9-4D52-D578-7F91-75A5DD8B1750}"/>
            </a:ext>
          </a:extLst>
        </xdr:cNvPr>
        <xdr:cNvGrpSpPr/>
      </xdr:nvGrpSpPr>
      <xdr:grpSpPr>
        <a:xfrm>
          <a:off x="68580" y="978626"/>
          <a:ext cx="1645920" cy="1009105"/>
          <a:chOff x="68580" y="967740"/>
          <a:chExt cx="1645920" cy="998220"/>
        </a:xfrm>
      </xdr:grpSpPr>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D5917EF9-BA7A-4886-B07A-6F3199A7953D}"/>
                  </a:ext>
                </a:extLst>
              </xdr:cNvPr>
              <xdr:cNvGraphicFramePr/>
            </xdr:nvGraphicFramePr>
            <xdr:xfrm>
              <a:off x="76200" y="998221"/>
              <a:ext cx="1607820" cy="967739"/>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0" y="1009439"/>
                <a:ext cx="1607820" cy="978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Rectangle: Rounded Corners 13">
            <a:extLst>
              <a:ext uri="{FF2B5EF4-FFF2-40B4-BE49-F238E27FC236}">
                <a16:creationId xmlns:a16="http://schemas.microsoft.com/office/drawing/2014/main" id="{467B2361-36E6-3E5D-38E5-00958670A9B1}"/>
              </a:ext>
            </a:extLst>
          </xdr:cNvPr>
          <xdr:cNvSpPr/>
        </xdr:nvSpPr>
        <xdr:spPr>
          <a:xfrm>
            <a:off x="68580" y="967740"/>
            <a:ext cx="1645920" cy="9220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38100</xdr:colOff>
      <xdr:row>30</xdr:row>
      <xdr:rowOff>160020</xdr:rowOff>
    </xdr:from>
    <xdr:to>
      <xdr:col>2</xdr:col>
      <xdr:colOff>449580</xdr:colOff>
      <xdr:row>38</xdr:row>
      <xdr:rowOff>91440</xdr:rowOff>
    </xdr:to>
    <xdr:grpSp>
      <xdr:nvGrpSpPr>
        <xdr:cNvPr id="27" name="Group 26">
          <a:extLst>
            <a:ext uri="{FF2B5EF4-FFF2-40B4-BE49-F238E27FC236}">
              <a16:creationId xmlns:a16="http://schemas.microsoft.com/office/drawing/2014/main" id="{1D55D928-4598-7A87-DEC0-C98421663FFF}"/>
            </a:ext>
          </a:extLst>
        </xdr:cNvPr>
        <xdr:cNvGrpSpPr/>
      </xdr:nvGrpSpPr>
      <xdr:grpSpPr>
        <a:xfrm>
          <a:off x="38100" y="5711734"/>
          <a:ext cx="1630680" cy="1411877"/>
          <a:chOff x="38100" y="5646420"/>
          <a:chExt cx="1630680" cy="1394460"/>
        </a:xfrm>
      </xdr:grpSpPr>
      <xdr:sp macro="" textlink="">
        <xdr:nvSpPr>
          <xdr:cNvPr id="21" name="Rectangle: Rounded Corners 20">
            <a:extLst>
              <a:ext uri="{FF2B5EF4-FFF2-40B4-BE49-F238E27FC236}">
                <a16:creationId xmlns:a16="http://schemas.microsoft.com/office/drawing/2014/main" id="{8C97AAA4-1CED-488E-B4BA-C72A2CFF22CA}"/>
              </a:ext>
            </a:extLst>
          </xdr:cNvPr>
          <xdr:cNvSpPr/>
        </xdr:nvSpPr>
        <xdr:spPr>
          <a:xfrm>
            <a:off x="38100" y="5646420"/>
            <a:ext cx="1630680" cy="1394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22" name="Children">
                <a:extLst>
                  <a:ext uri="{FF2B5EF4-FFF2-40B4-BE49-F238E27FC236}">
                    <a16:creationId xmlns:a16="http://schemas.microsoft.com/office/drawing/2014/main" id="{D114CC9D-BBFE-4FB7-892F-76D2CEF65048}"/>
                  </a:ext>
                </a:extLst>
              </xdr:cNvPr>
              <xdr:cNvGraphicFramePr/>
            </xdr:nvGraphicFramePr>
            <xdr:xfrm>
              <a:off x="167640" y="5715001"/>
              <a:ext cx="1371600" cy="123444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67640" y="5781172"/>
                <a:ext cx="1371600" cy="1249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60960</xdr:colOff>
      <xdr:row>10</xdr:row>
      <xdr:rowOff>91440</xdr:rowOff>
    </xdr:from>
    <xdr:to>
      <xdr:col>2</xdr:col>
      <xdr:colOff>472440</xdr:colOff>
      <xdr:row>17</xdr:row>
      <xdr:rowOff>53340</xdr:rowOff>
    </xdr:to>
    <xdr:grpSp>
      <xdr:nvGrpSpPr>
        <xdr:cNvPr id="26" name="Group 25">
          <a:extLst>
            <a:ext uri="{FF2B5EF4-FFF2-40B4-BE49-F238E27FC236}">
              <a16:creationId xmlns:a16="http://schemas.microsoft.com/office/drawing/2014/main" id="{5F8F221B-74A0-2B9F-8D29-773FD89AB114}"/>
            </a:ext>
          </a:extLst>
        </xdr:cNvPr>
        <xdr:cNvGrpSpPr/>
      </xdr:nvGrpSpPr>
      <xdr:grpSpPr>
        <a:xfrm>
          <a:off x="60960" y="1942011"/>
          <a:ext cx="1630680" cy="1257300"/>
          <a:chOff x="60960" y="1943100"/>
          <a:chExt cx="1630680" cy="1242060"/>
        </a:xfrm>
      </xdr:grpSpPr>
      <xdr:sp macro="" textlink="">
        <xdr:nvSpPr>
          <xdr:cNvPr id="18" name="Rectangle: Rounded Corners 17">
            <a:extLst>
              <a:ext uri="{FF2B5EF4-FFF2-40B4-BE49-F238E27FC236}">
                <a16:creationId xmlns:a16="http://schemas.microsoft.com/office/drawing/2014/main" id="{F34EBA5E-B0EA-F4A6-7B9E-07AD2480227C}"/>
              </a:ext>
            </a:extLst>
          </xdr:cNvPr>
          <xdr:cNvSpPr/>
        </xdr:nvSpPr>
        <xdr:spPr>
          <a:xfrm>
            <a:off x="60960" y="1943100"/>
            <a:ext cx="1630680" cy="1242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25" name="Region 1">
                <a:extLst>
                  <a:ext uri="{FF2B5EF4-FFF2-40B4-BE49-F238E27FC236}">
                    <a16:creationId xmlns:a16="http://schemas.microsoft.com/office/drawing/2014/main" id="{31D06100-846B-4FAA-8126-B7A29F78042A}"/>
                  </a:ext>
                </a:extLst>
              </xdr:cNvPr>
              <xdr:cNvGraphicFramePr/>
            </xdr:nvGraphicFramePr>
            <xdr:xfrm>
              <a:off x="144780" y="1981200"/>
              <a:ext cx="1455420" cy="115823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4780" y="1980578"/>
                <a:ext cx="1455420" cy="1172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45720</xdr:colOff>
      <xdr:row>25</xdr:row>
      <xdr:rowOff>0</xdr:rowOff>
    </xdr:from>
    <xdr:to>
      <xdr:col>2</xdr:col>
      <xdr:colOff>457200</xdr:colOff>
      <xdr:row>30</xdr:row>
      <xdr:rowOff>121920</xdr:rowOff>
    </xdr:to>
    <xdr:grpSp>
      <xdr:nvGrpSpPr>
        <xdr:cNvPr id="30" name="Group 29">
          <a:extLst>
            <a:ext uri="{FF2B5EF4-FFF2-40B4-BE49-F238E27FC236}">
              <a16:creationId xmlns:a16="http://schemas.microsoft.com/office/drawing/2014/main" id="{BEA87416-46E8-90B3-30EB-B2BF48EF8FF2}"/>
            </a:ext>
          </a:extLst>
        </xdr:cNvPr>
        <xdr:cNvGrpSpPr/>
      </xdr:nvGrpSpPr>
      <xdr:grpSpPr>
        <a:xfrm>
          <a:off x="45720" y="4626429"/>
          <a:ext cx="1630680" cy="1047205"/>
          <a:chOff x="45720" y="4533900"/>
          <a:chExt cx="1630680" cy="1036320"/>
        </a:xfrm>
      </xdr:grpSpPr>
      <xdr:sp macro="" textlink="">
        <xdr:nvSpPr>
          <xdr:cNvPr id="20" name="Rectangle: Rounded Corners 19">
            <a:extLst>
              <a:ext uri="{FF2B5EF4-FFF2-40B4-BE49-F238E27FC236}">
                <a16:creationId xmlns:a16="http://schemas.microsoft.com/office/drawing/2014/main" id="{F5662DD5-D523-4A4A-B8AC-79D65DE2AAFE}"/>
              </a:ext>
            </a:extLst>
          </xdr:cNvPr>
          <xdr:cNvSpPr/>
        </xdr:nvSpPr>
        <xdr:spPr>
          <a:xfrm>
            <a:off x="45720" y="4533900"/>
            <a:ext cx="1630680" cy="10363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99F36577-1D9E-4750-B67E-833ED8490154}"/>
                  </a:ext>
                </a:extLst>
              </xdr:cNvPr>
              <xdr:cNvGraphicFramePr/>
            </xdr:nvGraphicFramePr>
            <xdr:xfrm>
              <a:off x="106680" y="4602480"/>
              <a:ext cx="1501140" cy="891539"/>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6680" y="4695729"/>
                <a:ext cx="1501140" cy="900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53340</xdr:colOff>
      <xdr:row>17</xdr:row>
      <xdr:rowOff>91440</xdr:rowOff>
    </xdr:from>
    <xdr:to>
      <xdr:col>2</xdr:col>
      <xdr:colOff>464820</xdr:colOff>
      <xdr:row>24</xdr:row>
      <xdr:rowOff>144780</xdr:rowOff>
    </xdr:to>
    <xdr:grpSp>
      <xdr:nvGrpSpPr>
        <xdr:cNvPr id="31" name="Group 30">
          <a:extLst>
            <a:ext uri="{FF2B5EF4-FFF2-40B4-BE49-F238E27FC236}">
              <a16:creationId xmlns:a16="http://schemas.microsoft.com/office/drawing/2014/main" id="{00DA29D9-22C9-A943-C148-460A26FB820E}"/>
            </a:ext>
          </a:extLst>
        </xdr:cNvPr>
        <xdr:cNvGrpSpPr/>
      </xdr:nvGrpSpPr>
      <xdr:grpSpPr>
        <a:xfrm>
          <a:off x="53340" y="3237411"/>
          <a:ext cx="1630680" cy="1348740"/>
          <a:chOff x="53340" y="3200400"/>
          <a:chExt cx="1630680" cy="1333500"/>
        </a:xfrm>
      </xdr:grpSpPr>
      <xdr:sp macro="" textlink="">
        <xdr:nvSpPr>
          <xdr:cNvPr id="19" name="Rectangle: Rounded Corners 18">
            <a:extLst>
              <a:ext uri="{FF2B5EF4-FFF2-40B4-BE49-F238E27FC236}">
                <a16:creationId xmlns:a16="http://schemas.microsoft.com/office/drawing/2014/main" id="{EB1265C5-1FFC-433D-A1A8-69281BD7015D}"/>
              </a:ext>
            </a:extLst>
          </xdr:cNvPr>
          <xdr:cNvSpPr/>
        </xdr:nvSpPr>
        <xdr:spPr>
          <a:xfrm>
            <a:off x="53340" y="3200400"/>
            <a:ext cx="1630680" cy="1333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29" name="Education">
                <a:extLst>
                  <a:ext uri="{FF2B5EF4-FFF2-40B4-BE49-F238E27FC236}">
                    <a16:creationId xmlns:a16="http://schemas.microsoft.com/office/drawing/2014/main" id="{4BD1A821-A7F7-4380-AB40-8A6EBDE8CA50}"/>
                  </a:ext>
                </a:extLst>
              </xdr:cNvPr>
              <xdr:cNvGraphicFramePr/>
            </xdr:nvGraphicFramePr>
            <xdr:xfrm>
              <a:off x="152400" y="3276601"/>
              <a:ext cx="1424940" cy="117348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0" y="3314483"/>
                <a:ext cx="1424940" cy="1186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Patial" refreshedDate="46031.706546875001" createdVersion="8" refreshedVersion="8" minRefreshableVersion="3" recordCount="1000" xr:uid="{13C2A840-2AD4-435A-9E17-CD7C7D8F074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91971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91792-B031-44F8-823F-A1CAA18D41A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D40" firstHeaderRow="1" firstDataRow="2" firstDataCol="1"/>
  <pivotFields count="14">
    <pivotField showAll="0"/>
    <pivotField showAll="0">
      <items count="3">
        <item x="0"/>
        <item x="1"/>
        <item t="default"/>
      </items>
    </pivotField>
    <pivotField showAll="0">
      <items count="3">
        <item h="1" x="0"/>
        <item x="1"/>
        <item t="default"/>
      </items>
    </pivotField>
    <pivotField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60">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F4FEE-8976-4984-81D8-D601408158DE}"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5" firstHeaderRow="1" firstDataRow="2" firstDataCol="1"/>
  <pivotFields count="14">
    <pivotField showAll="0"/>
    <pivotField showAll="0">
      <items count="3">
        <item x="0"/>
        <item x="1"/>
        <item t="default"/>
      </items>
    </pivotField>
    <pivotField showAll="0">
      <items count="3">
        <item h="1" x="0"/>
        <item x="1"/>
        <item t="default"/>
      </items>
    </pivotField>
    <pivotField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formats count="1">
    <format dxfId="61">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7D81D7-5055-45B0-9A2F-EA7D021A183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6" firstHeaderRow="1" firstDataRow="2" firstDataCol="1"/>
  <pivotFields count="14">
    <pivotField showAll="0"/>
    <pivotField showAll="0">
      <items count="3">
        <item x="0"/>
        <item x="1"/>
        <item t="default"/>
      </items>
    </pivotField>
    <pivotField axis="axisRow" showAll="0">
      <items count="3">
        <item h="1" x="0"/>
        <item x="1"/>
        <item t="default"/>
      </items>
    </pivotField>
    <pivotField dataField="1"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
  </dataFields>
  <formats count="1">
    <format dxfId="5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7199E4-CB25-46FB-826B-463B5AEC1418}" sourceName="Marital Status">
  <pivotTables>
    <pivotTable tabId="3" name="PivotTable1"/>
    <pivotTable tabId="3" name="PivotTable2"/>
    <pivotTable tabId="3" name="PivotTable3"/>
  </pivotTables>
  <data>
    <tabular pivotCacheId="11919718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353B0672-0D6A-48A7-9048-ACAA3BAF5DC9}" sourceName="Children">
  <pivotTables>
    <pivotTable tabId="3" name="PivotTable1"/>
    <pivotTable tabId="3" name="PivotTable2"/>
    <pivotTable tabId="3" name="PivotTable3"/>
  </pivotTables>
  <data>
    <tabular pivotCacheId="1191971840">
      <items count="6">
        <i x="3"/>
        <i x="0" s="1"/>
        <i x="4"/>
        <i x="1"/>
        <i x="5"/>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377667-6B07-4FD1-AC6F-5EB7997E1FB7}" sourceName="Region">
  <pivotTables>
    <pivotTable tabId="3" name="PivotTable1"/>
    <pivotTable tabId="3" name="PivotTable2"/>
    <pivotTable tabId="3" name="PivotTable3"/>
  </pivotTables>
  <data>
    <tabular pivotCacheId="119197184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B3D6D4D-9301-411D-9283-80A0F8492863}" sourceName="Gender">
  <pivotTables>
    <pivotTable tabId="3" name="PivotTable1"/>
    <pivotTable tabId="3" name="PivotTable2"/>
    <pivotTable tabId="3" name="PivotTable3"/>
  </pivotTables>
  <data>
    <tabular pivotCacheId="1191971840">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C86167A-CE66-4283-87AA-BABCF140E996}" sourceName="Education">
  <pivotTables>
    <pivotTable tabId="3" name="PivotTable1"/>
    <pivotTable tabId="3" name="PivotTable2"/>
    <pivotTable tabId="3" name="PivotTable3"/>
  </pivotTables>
  <data>
    <tabular pivotCacheId="1191971840">
      <items count="5">
        <i x="0" s="1"/>
        <i x="4"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9B6A2A-22A6-4B50-BF3A-5A638C01320A}" cache="Slicer_Marital_Status" caption="Marital Status" style="SlicerStyleDark1 2" rowHeight="234950"/>
  <slicer name="Children" xr10:uid="{296AFA70-7948-4305-8014-717C426AA022}" cache="Slicer_Children" caption="Children" style="SlicerStyleDark1 2" rowHeight="234950"/>
  <slicer name="Region 1" xr10:uid="{1BED91B0-46B6-4CFC-972A-3CC86F55E8FC}" cache="Slicer_Region" caption="Region" style="SlicerStyleDark1 2" rowHeight="234950"/>
  <slicer name="Gender" xr10:uid="{3DEEB47C-ED48-4AA9-9178-86E702BD2786}" cache="Slicer_Gender" caption="Gender" style="SlicerStyleDark1 2" rowHeight="234950"/>
  <slicer name="Education" xr10:uid="{569B2245-7B65-4465-BCBA-467509D13B68}" cache="Slicer_Education" caption="Education"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BE96-EAF2-4C59-88B0-3E975ADF58C8}">
  <dimension ref="A1:M1027"/>
  <sheetViews>
    <sheetView workbookViewId="0"/>
  </sheetViews>
  <sheetFormatPr defaultRowHeight="14.4" x14ac:dyDescent="0.3"/>
  <cols>
    <col min="1" max="1" width="6" bestFit="1" customWidth="1"/>
    <col min="2" max="2" width="12.33203125" bestFit="1" customWidth="1"/>
    <col min="3" max="3" width="6.88671875"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490B-81A8-48AA-8B3A-C82419B0BC65}">
  <dimension ref="A1:N1001"/>
  <sheetViews>
    <sheetView workbookViewId="0">
      <selection activeCell="B14" sqref="A1:N1001"/>
    </sheetView>
  </sheetViews>
  <sheetFormatPr defaultRowHeight="14.4" x14ac:dyDescent="0.3"/>
  <cols>
    <col min="1" max="1" width="6" bestFit="1" customWidth="1"/>
    <col min="2" max="2" width="12.33203125" bestFit="1" customWidth="1"/>
    <col min="3" max="3" width="6.88671875" bestFit="1" customWidth="1"/>
    <col min="4" max="4" width="12.554687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88671875" bestFit="1" customWidth="1"/>
    <col min="11" max="11" width="12.88671875" bestFit="1" customWidth="1"/>
    <col min="12" max="12" width="4" bestFit="1" customWidth="1"/>
    <col min="13" max="13" width="11.44140625" bestFit="1"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36</v>
      </c>
      <c r="N1" t="s">
        <v>12</v>
      </c>
    </row>
    <row r="2" spans="1:14" x14ac:dyDescent="0.3">
      <c r="A2">
        <v>12496</v>
      </c>
      <c r="B2" t="s">
        <v>37</v>
      </c>
      <c r="C2" t="s">
        <v>38</v>
      </c>
      <c r="D2" s="3">
        <v>40000</v>
      </c>
      <c r="E2">
        <v>1</v>
      </c>
      <c r="F2" t="s">
        <v>15</v>
      </c>
      <c r="G2" t="s">
        <v>16</v>
      </c>
      <c r="H2" t="s">
        <v>17</v>
      </c>
      <c r="I2">
        <v>0</v>
      </c>
      <c r="J2" t="s">
        <v>18</v>
      </c>
      <c r="K2" t="s">
        <v>19</v>
      </c>
      <c r="L2">
        <v>42</v>
      </c>
      <c r="M2" t="str">
        <f>IF(L2&gt;54, "Old", IF(L2&gt;31,"Middle Age",IF(L2&lt;31,"Adolescent","Invalid")))</f>
        <v>Middle Age</v>
      </c>
      <c r="N2" t="s">
        <v>20</v>
      </c>
    </row>
    <row r="3" spans="1:14" x14ac:dyDescent="0.3">
      <c r="A3">
        <v>24107</v>
      </c>
      <c r="B3" t="s">
        <v>37</v>
      </c>
      <c r="C3" t="s">
        <v>39</v>
      </c>
      <c r="D3" s="3">
        <v>30000</v>
      </c>
      <c r="E3">
        <v>3</v>
      </c>
      <c r="F3" t="s">
        <v>21</v>
      </c>
      <c r="G3" t="s">
        <v>22</v>
      </c>
      <c r="H3" t="s">
        <v>17</v>
      </c>
      <c r="I3">
        <v>1</v>
      </c>
      <c r="J3" t="s">
        <v>18</v>
      </c>
      <c r="K3" t="s">
        <v>19</v>
      </c>
      <c r="L3">
        <v>43</v>
      </c>
      <c r="M3" t="str">
        <f t="shared" ref="M3:M66" si="0">IF(L3&gt;54, "Old", IF(L3&gt;31,"Middle Age",IF(L3&lt;31,"Adolescent","Invalid")))</f>
        <v>Middle Age</v>
      </c>
      <c r="N3" t="s">
        <v>20</v>
      </c>
    </row>
    <row r="4" spans="1:14" x14ac:dyDescent="0.3">
      <c r="A4">
        <v>14177</v>
      </c>
      <c r="B4" t="s">
        <v>37</v>
      </c>
      <c r="C4" t="s">
        <v>39</v>
      </c>
      <c r="D4" s="3">
        <v>80000</v>
      </c>
      <c r="E4">
        <v>5</v>
      </c>
      <c r="F4" t="s">
        <v>21</v>
      </c>
      <c r="G4" t="s">
        <v>23</v>
      </c>
      <c r="H4" t="s">
        <v>20</v>
      </c>
      <c r="I4">
        <v>2</v>
      </c>
      <c r="J4" t="s">
        <v>24</v>
      </c>
      <c r="K4" t="s">
        <v>19</v>
      </c>
      <c r="L4">
        <v>60</v>
      </c>
      <c r="M4" t="str">
        <f t="shared" si="0"/>
        <v>Old</v>
      </c>
      <c r="N4" t="s">
        <v>20</v>
      </c>
    </row>
    <row r="5" spans="1:14" x14ac:dyDescent="0.3">
      <c r="A5">
        <v>24381</v>
      </c>
      <c r="B5" t="s">
        <v>40</v>
      </c>
      <c r="C5" t="s">
        <v>39</v>
      </c>
      <c r="D5" s="3">
        <v>70000</v>
      </c>
      <c r="E5">
        <v>0</v>
      </c>
      <c r="F5" t="s">
        <v>15</v>
      </c>
      <c r="G5" t="s">
        <v>23</v>
      </c>
      <c r="H5" t="s">
        <v>17</v>
      </c>
      <c r="I5">
        <v>1</v>
      </c>
      <c r="J5" t="s">
        <v>26</v>
      </c>
      <c r="K5" t="s">
        <v>27</v>
      </c>
      <c r="L5">
        <v>41</v>
      </c>
      <c r="M5" t="str">
        <f t="shared" si="0"/>
        <v>Middle Age</v>
      </c>
      <c r="N5" t="s">
        <v>17</v>
      </c>
    </row>
    <row r="6" spans="1:14" x14ac:dyDescent="0.3">
      <c r="A6">
        <v>25597</v>
      </c>
      <c r="B6" t="s">
        <v>40</v>
      </c>
      <c r="C6" t="s">
        <v>39</v>
      </c>
      <c r="D6" s="3">
        <v>30000</v>
      </c>
      <c r="E6">
        <v>0</v>
      </c>
      <c r="F6" t="s">
        <v>15</v>
      </c>
      <c r="G6" t="s">
        <v>22</v>
      </c>
      <c r="H6" t="s">
        <v>20</v>
      </c>
      <c r="I6">
        <v>0</v>
      </c>
      <c r="J6" t="s">
        <v>18</v>
      </c>
      <c r="K6" t="s">
        <v>19</v>
      </c>
      <c r="L6">
        <v>36</v>
      </c>
      <c r="M6" t="str">
        <f t="shared" si="0"/>
        <v>Middle Age</v>
      </c>
      <c r="N6" t="s">
        <v>17</v>
      </c>
    </row>
    <row r="7" spans="1:14" x14ac:dyDescent="0.3">
      <c r="A7">
        <v>13507</v>
      </c>
      <c r="B7" t="s">
        <v>37</v>
      </c>
      <c r="C7" t="s">
        <v>38</v>
      </c>
      <c r="D7" s="3">
        <v>10000</v>
      </c>
      <c r="E7">
        <v>2</v>
      </c>
      <c r="F7" t="s">
        <v>21</v>
      </c>
      <c r="G7" t="s">
        <v>28</v>
      </c>
      <c r="H7" t="s">
        <v>17</v>
      </c>
      <c r="I7">
        <v>0</v>
      </c>
      <c r="J7" t="s">
        <v>29</v>
      </c>
      <c r="K7" t="s">
        <v>19</v>
      </c>
      <c r="L7">
        <v>50</v>
      </c>
      <c r="M7" t="str">
        <f t="shared" si="0"/>
        <v>Middle Age</v>
      </c>
      <c r="N7" t="s">
        <v>20</v>
      </c>
    </row>
    <row r="8" spans="1:14" x14ac:dyDescent="0.3">
      <c r="A8">
        <v>27974</v>
      </c>
      <c r="B8" t="s">
        <v>40</v>
      </c>
      <c r="C8" t="s">
        <v>39</v>
      </c>
      <c r="D8" s="3">
        <v>160000</v>
      </c>
      <c r="E8">
        <v>2</v>
      </c>
      <c r="F8" t="s">
        <v>30</v>
      </c>
      <c r="G8" t="s">
        <v>31</v>
      </c>
      <c r="H8" t="s">
        <v>17</v>
      </c>
      <c r="I8">
        <v>4</v>
      </c>
      <c r="J8" t="s">
        <v>18</v>
      </c>
      <c r="K8" t="s">
        <v>27</v>
      </c>
      <c r="L8">
        <v>33</v>
      </c>
      <c r="M8" t="str">
        <f t="shared" si="0"/>
        <v>Middle Age</v>
      </c>
      <c r="N8" t="s">
        <v>17</v>
      </c>
    </row>
    <row r="9" spans="1:14" x14ac:dyDescent="0.3">
      <c r="A9">
        <v>19364</v>
      </c>
      <c r="B9" t="s">
        <v>37</v>
      </c>
      <c r="C9" t="s">
        <v>39</v>
      </c>
      <c r="D9" s="3">
        <v>40000</v>
      </c>
      <c r="E9">
        <v>1</v>
      </c>
      <c r="F9" t="s">
        <v>15</v>
      </c>
      <c r="G9" t="s">
        <v>16</v>
      </c>
      <c r="H9" t="s">
        <v>17</v>
      </c>
      <c r="I9">
        <v>0</v>
      </c>
      <c r="J9" t="s">
        <v>18</v>
      </c>
      <c r="K9" t="s">
        <v>19</v>
      </c>
      <c r="L9">
        <v>43</v>
      </c>
      <c r="M9" t="str">
        <f t="shared" si="0"/>
        <v>Middle Age</v>
      </c>
      <c r="N9" t="s">
        <v>17</v>
      </c>
    </row>
    <row r="10" spans="1:14" x14ac:dyDescent="0.3">
      <c r="A10">
        <v>22155</v>
      </c>
      <c r="B10" t="s">
        <v>37</v>
      </c>
      <c r="C10" t="s">
        <v>39</v>
      </c>
      <c r="D10" s="3">
        <v>20000</v>
      </c>
      <c r="E10">
        <v>2</v>
      </c>
      <c r="F10" t="s">
        <v>32</v>
      </c>
      <c r="G10" t="s">
        <v>22</v>
      </c>
      <c r="H10" t="s">
        <v>17</v>
      </c>
      <c r="I10">
        <v>2</v>
      </c>
      <c r="J10" t="s">
        <v>26</v>
      </c>
      <c r="K10" t="s">
        <v>27</v>
      </c>
      <c r="L10">
        <v>58</v>
      </c>
      <c r="M10" t="str">
        <f t="shared" si="0"/>
        <v>Old</v>
      </c>
      <c r="N10" t="s">
        <v>20</v>
      </c>
    </row>
    <row r="11" spans="1:14" x14ac:dyDescent="0.3">
      <c r="A11">
        <v>19280</v>
      </c>
      <c r="B11" t="s">
        <v>37</v>
      </c>
      <c r="C11" t="s">
        <v>39</v>
      </c>
      <c r="D11" s="3">
        <v>120000</v>
      </c>
      <c r="E11">
        <v>2</v>
      </c>
      <c r="F11" t="s">
        <v>21</v>
      </c>
      <c r="G11" t="s">
        <v>28</v>
      </c>
      <c r="H11" t="s">
        <v>17</v>
      </c>
      <c r="I11">
        <v>1</v>
      </c>
      <c r="J11" t="s">
        <v>18</v>
      </c>
      <c r="K11" t="s">
        <v>19</v>
      </c>
      <c r="L11">
        <v>40</v>
      </c>
      <c r="M11" t="str">
        <f t="shared" si="0"/>
        <v>Middle Age</v>
      </c>
      <c r="N11" t="s">
        <v>17</v>
      </c>
    </row>
    <row r="12" spans="1:14" x14ac:dyDescent="0.3">
      <c r="A12">
        <v>22173</v>
      </c>
      <c r="B12" t="s">
        <v>37</v>
      </c>
      <c r="C12" t="s">
        <v>38</v>
      </c>
      <c r="D12" s="3">
        <v>30000</v>
      </c>
      <c r="E12">
        <v>3</v>
      </c>
      <c r="F12" t="s">
        <v>30</v>
      </c>
      <c r="G12" t="s">
        <v>16</v>
      </c>
      <c r="H12" t="s">
        <v>20</v>
      </c>
      <c r="I12">
        <v>2</v>
      </c>
      <c r="J12" t="s">
        <v>29</v>
      </c>
      <c r="K12" t="s">
        <v>27</v>
      </c>
      <c r="L12">
        <v>54</v>
      </c>
      <c r="M12" t="str">
        <f t="shared" si="0"/>
        <v>Middle Age</v>
      </c>
      <c r="N12" t="s">
        <v>17</v>
      </c>
    </row>
    <row r="13" spans="1:14" x14ac:dyDescent="0.3">
      <c r="A13">
        <v>12697</v>
      </c>
      <c r="B13" t="s">
        <v>40</v>
      </c>
      <c r="C13" t="s">
        <v>38</v>
      </c>
      <c r="D13" s="3">
        <v>90000</v>
      </c>
      <c r="E13">
        <v>0</v>
      </c>
      <c r="F13" t="s">
        <v>15</v>
      </c>
      <c r="G13" t="s">
        <v>23</v>
      </c>
      <c r="H13" t="s">
        <v>20</v>
      </c>
      <c r="I13">
        <v>4</v>
      </c>
      <c r="J13" t="s">
        <v>41</v>
      </c>
      <c r="K13" t="s">
        <v>27</v>
      </c>
      <c r="L13">
        <v>36</v>
      </c>
      <c r="M13" t="str">
        <f t="shared" si="0"/>
        <v>Middle Age</v>
      </c>
      <c r="N13" t="s">
        <v>20</v>
      </c>
    </row>
    <row r="14" spans="1:14" x14ac:dyDescent="0.3">
      <c r="A14">
        <v>11434</v>
      </c>
      <c r="B14" t="s">
        <v>37</v>
      </c>
      <c r="C14" t="s">
        <v>39</v>
      </c>
      <c r="D14" s="3">
        <v>170000</v>
      </c>
      <c r="E14">
        <v>5</v>
      </c>
      <c r="F14" t="s">
        <v>21</v>
      </c>
      <c r="G14" t="s">
        <v>23</v>
      </c>
      <c r="H14" t="s">
        <v>17</v>
      </c>
      <c r="I14">
        <v>0</v>
      </c>
      <c r="J14" t="s">
        <v>18</v>
      </c>
      <c r="K14" t="s">
        <v>19</v>
      </c>
      <c r="L14">
        <v>55</v>
      </c>
      <c r="M14" t="str">
        <f t="shared" si="0"/>
        <v>Old</v>
      </c>
      <c r="N14" t="s">
        <v>20</v>
      </c>
    </row>
    <row r="15" spans="1:14" x14ac:dyDescent="0.3">
      <c r="A15">
        <v>25323</v>
      </c>
      <c r="B15" t="s">
        <v>37</v>
      </c>
      <c r="C15" t="s">
        <v>39</v>
      </c>
      <c r="D15" s="3">
        <v>40000</v>
      </c>
      <c r="E15">
        <v>2</v>
      </c>
      <c r="F15" t="s">
        <v>21</v>
      </c>
      <c r="G15" t="s">
        <v>22</v>
      </c>
      <c r="H15" t="s">
        <v>17</v>
      </c>
      <c r="I15">
        <v>1</v>
      </c>
      <c r="J15" t="s">
        <v>29</v>
      </c>
      <c r="K15" t="s">
        <v>19</v>
      </c>
      <c r="L15">
        <v>35</v>
      </c>
      <c r="M15" t="str">
        <f t="shared" si="0"/>
        <v>Middle Age</v>
      </c>
      <c r="N15" t="s">
        <v>17</v>
      </c>
    </row>
    <row r="16" spans="1:14" x14ac:dyDescent="0.3">
      <c r="A16">
        <v>23542</v>
      </c>
      <c r="B16" t="s">
        <v>40</v>
      </c>
      <c r="C16" t="s">
        <v>39</v>
      </c>
      <c r="D16" s="3">
        <v>60000</v>
      </c>
      <c r="E16">
        <v>1</v>
      </c>
      <c r="F16" t="s">
        <v>21</v>
      </c>
      <c r="G16" t="s">
        <v>16</v>
      </c>
      <c r="H16" t="s">
        <v>20</v>
      </c>
      <c r="I16">
        <v>1</v>
      </c>
      <c r="J16" t="s">
        <v>18</v>
      </c>
      <c r="K16" t="s">
        <v>27</v>
      </c>
      <c r="L16">
        <v>45</v>
      </c>
      <c r="M16" t="str">
        <f t="shared" si="0"/>
        <v>Middle Age</v>
      </c>
      <c r="N16" t="s">
        <v>17</v>
      </c>
    </row>
    <row r="17" spans="1:14" x14ac:dyDescent="0.3">
      <c r="A17">
        <v>20870</v>
      </c>
      <c r="B17" t="s">
        <v>40</v>
      </c>
      <c r="C17" t="s">
        <v>38</v>
      </c>
      <c r="D17" s="3">
        <v>10000</v>
      </c>
      <c r="E17">
        <v>2</v>
      </c>
      <c r="F17" t="s">
        <v>30</v>
      </c>
      <c r="G17" t="s">
        <v>28</v>
      </c>
      <c r="H17" t="s">
        <v>17</v>
      </c>
      <c r="I17">
        <v>1</v>
      </c>
      <c r="J17" t="s">
        <v>18</v>
      </c>
      <c r="K17" t="s">
        <v>19</v>
      </c>
      <c r="L17">
        <v>38</v>
      </c>
      <c r="M17" t="str">
        <f t="shared" si="0"/>
        <v>Middle Age</v>
      </c>
      <c r="N17" t="s">
        <v>17</v>
      </c>
    </row>
    <row r="18" spans="1:14" x14ac:dyDescent="0.3">
      <c r="A18">
        <v>23316</v>
      </c>
      <c r="B18" t="s">
        <v>40</v>
      </c>
      <c r="C18" t="s">
        <v>39</v>
      </c>
      <c r="D18" s="3">
        <v>30000</v>
      </c>
      <c r="E18">
        <v>3</v>
      </c>
      <c r="F18" t="s">
        <v>21</v>
      </c>
      <c r="G18" t="s">
        <v>22</v>
      </c>
      <c r="H18" t="s">
        <v>20</v>
      </c>
      <c r="I18">
        <v>2</v>
      </c>
      <c r="J18" t="s">
        <v>29</v>
      </c>
      <c r="K18" t="s">
        <v>27</v>
      </c>
      <c r="L18">
        <v>59</v>
      </c>
      <c r="M18" t="str">
        <f t="shared" si="0"/>
        <v>Old</v>
      </c>
      <c r="N18" t="s">
        <v>17</v>
      </c>
    </row>
    <row r="19" spans="1:14" x14ac:dyDescent="0.3">
      <c r="A19">
        <v>12610</v>
      </c>
      <c r="B19" t="s">
        <v>37</v>
      </c>
      <c r="C19" t="s">
        <v>38</v>
      </c>
      <c r="D19" s="3">
        <v>30000</v>
      </c>
      <c r="E19">
        <v>1</v>
      </c>
      <c r="F19" t="s">
        <v>15</v>
      </c>
      <c r="G19" t="s">
        <v>22</v>
      </c>
      <c r="H19" t="s">
        <v>17</v>
      </c>
      <c r="I19">
        <v>0</v>
      </c>
      <c r="J19" t="s">
        <v>18</v>
      </c>
      <c r="K19" t="s">
        <v>19</v>
      </c>
      <c r="L19">
        <v>47</v>
      </c>
      <c r="M19" t="str">
        <f t="shared" si="0"/>
        <v>Middle Age</v>
      </c>
      <c r="N19" t="s">
        <v>20</v>
      </c>
    </row>
    <row r="20" spans="1:14" x14ac:dyDescent="0.3">
      <c r="A20">
        <v>27183</v>
      </c>
      <c r="B20" t="s">
        <v>40</v>
      </c>
      <c r="C20" t="s">
        <v>39</v>
      </c>
      <c r="D20" s="3">
        <v>40000</v>
      </c>
      <c r="E20">
        <v>2</v>
      </c>
      <c r="F20" t="s">
        <v>21</v>
      </c>
      <c r="G20" t="s">
        <v>22</v>
      </c>
      <c r="H20" t="s">
        <v>17</v>
      </c>
      <c r="I20">
        <v>1</v>
      </c>
      <c r="J20" t="s">
        <v>29</v>
      </c>
      <c r="K20" t="s">
        <v>19</v>
      </c>
      <c r="L20">
        <v>35</v>
      </c>
      <c r="M20" t="str">
        <f t="shared" si="0"/>
        <v>Middle Age</v>
      </c>
      <c r="N20" t="s">
        <v>17</v>
      </c>
    </row>
    <row r="21" spans="1:14" x14ac:dyDescent="0.3">
      <c r="A21">
        <v>25940</v>
      </c>
      <c r="B21" t="s">
        <v>40</v>
      </c>
      <c r="C21" t="s">
        <v>39</v>
      </c>
      <c r="D21" s="3">
        <v>20000</v>
      </c>
      <c r="E21">
        <v>2</v>
      </c>
      <c r="F21" t="s">
        <v>32</v>
      </c>
      <c r="G21" t="s">
        <v>22</v>
      </c>
      <c r="H21" t="s">
        <v>17</v>
      </c>
      <c r="I21">
        <v>2</v>
      </c>
      <c r="J21" t="s">
        <v>26</v>
      </c>
      <c r="K21" t="s">
        <v>27</v>
      </c>
      <c r="L21">
        <v>55</v>
      </c>
      <c r="M21" t="str">
        <f t="shared" si="0"/>
        <v>Old</v>
      </c>
      <c r="N21" t="s">
        <v>17</v>
      </c>
    </row>
    <row r="22" spans="1:14" x14ac:dyDescent="0.3">
      <c r="A22">
        <v>25598</v>
      </c>
      <c r="B22" t="s">
        <v>37</v>
      </c>
      <c r="C22" t="s">
        <v>38</v>
      </c>
      <c r="D22" s="3">
        <v>40000</v>
      </c>
      <c r="E22">
        <v>0</v>
      </c>
      <c r="F22" t="s">
        <v>34</v>
      </c>
      <c r="G22" t="s">
        <v>22</v>
      </c>
      <c r="H22" t="s">
        <v>17</v>
      </c>
      <c r="I22">
        <v>0</v>
      </c>
      <c r="J22" t="s">
        <v>18</v>
      </c>
      <c r="K22" t="s">
        <v>19</v>
      </c>
      <c r="L22">
        <v>36</v>
      </c>
      <c r="M22" t="str">
        <f t="shared" si="0"/>
        <v>Middle Age</v>
      </c>
      <c r="N22" t="s">
        <v>17</v>
      </c>
    </row>
    <row r="23" spans="1:14" x14ac:dyDescent="0.3">
      <c r="A23">
        <v>21564</v>
      </c>
      <c r="B23" t="s">
        <v>40</v>
      </c>
      <c r="C23" t="s">
        <v>38</v>
      </c>
      <c r="D23" s="3">
        <v>80000</v>
      </c>
      <c r="E23">
        <v>0</v>
      </c>
      <c r="F23" t="s">
        <v>15</v>
      </c>
      <c r="G23" t="s">
        <v>23</v>
      </c>
      <c r="H23" t="s">
        <v>17</v>
      </c>
      <c r="I23">
        <v>4</v>
      </c>
      <c r="J23" t="s">
        <v>41</v>
      </c>
      <c r="K23" t="s">
        <v>27</v>
      </c>
      <c r="L23">
        <v>35</v>
      </c>
      <c r="M23" t="str">
        <f t="shared" si="0"/>
        <v>Middle Age</v>
      </c>
      <c r="N23" t="s">
        <v>20</v>
      </c>
    </row>
    <row r="24" spans="1:14" x14ac:dyDescent="0.3">
      <c r="A24">
        <v>19193</v>
      </c>
      <c r="B24" t="s">
        <v>40</v>
      </c>
      <c r="C24" t="s">
        <v>39</v>
      </c>
      <c r="D24" s="3">
        <v>40000</v>
      </c>
      <c r="E24">
        <v>2</v>
      </c>
      <c r="F24" t="s">
        <v>21</v>
      </c>
      <c r="G24" t="s">
        <v>22</v>
      </c>
      <c r="H24" t="s">
        <v>17</v>
      </c>
      <c r="I24">
        <v>0</v>
      </c>
      <c r="J24" t="s">
        <v>29</v>
      </c>
      <c r="K24" t="s">
        <v>19</v>
      </c>
      <c r="L24">
        <v>35</v>
      </c>
      <c r="M24" t="str">
        <f t="shared" si="0"/>
        <v>Middle Age</v>
      </c>
      <c r="N24" t="s">
        <v>17</v>
      </c>
    </row>
    <row r="25" spans="1:14" x14ac:dyDescent="0.3">
      <c r="A25">
        <v>26412</v>
      </c>
      <c r="B25" t="s">
        <v>37</v>
      </c>
      <c r="C25" t="s">
        <v>38</v>
      </c>
      <c r="D25" s="3">
        <v>80000</v>
      </c>
      <c r="E25">
        <v>5</v>
      </c>
      <c r="F25" t="s">
        <v>30</v>
      </c>
      <c r="G25" t="s">
        <v>31</v>
      </c>
      <c r="H25" t="s">
        <v>20</v>
      </c>
      <c r="I25">
        <v>3</v>
      </c>
      <c r="J25" t="s">
        <v>26</v>
      </c>
      <c r="K25" t="s">
        <v>19</v>
      </c>
      <c r="L25">
        <v>56</v>
      </c>
      <c r="M25" t="str">
        <f t="shared" si="0"/>
        <v>Old</v>
      </c>
      <c r="N25" t="s">
        <v>20</v>
      </c>
    </row>
    <row r="26" spans="1:14" x14ac:dyDescent="0.3">
      <c r="A26">
        <v>27184</v>
      </c>
      <c r="B26" t="s">
        <v>40</v>
      </c>
      <c r="C26" t="s">
        <v>39</v>
      </c>
      <c r="D26" s="3">
        <v>40000</v>
      </c>
      <c r="E26">
        <v>2</v>
      </c>
      <c r="F26" t="s">
        <v>21</v>
      </c>
      <c r="G26" t="s">
        <v>22</v>
      </c>
      <c r="H26" t="s">
        <v>20</v>
      </c>
      <c r="I26">
        <v>1</v>
      </c>
      <c r="J26" t="s">
        <v>18</v>
      </c>
      <c r="K26" t="s">
        <v>19</v>
      </c>
      <c r="L26">
        <v>34</v>
      </c>
      <c r="M26" t="str">
        <f t="shared" si="0"/>
        <v>Middle Age</v>
      </c>
      <c r="N26" t="s">
        <v>20</v>
      </c>
    </row>
    <row r="27" spans="1:14" x14ac:dyDescent="0.3">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3">
      <c r="A28">
        <v>17841</v>
      </c>
      <c r="B28" t="s">
        <v>40</v>
      </c>
      <c r="C28" t="s">
        <v>39</v>
      </c>
      <c r="D28" s="3">
        <v>30000</v>
      </c>
      <c r="E28">
        <v>0</v>
      </c>
      <c r="F28" t="s">
        <v>21</v>
      </c>
      <c r="G28" t="s">
        <v>22</v>
      </c>
      <c r="H28" t="s">
        <v>20</v>
      </c>
      <c r="I28">
        <v>1</v>
      </c>
      <c r="J28" t="s">
        <v>18</v>
      </c>
      <c r="K28" t="s">
        <v>19</v>
      </c>
      <c r="L28">
        <v>29</v>
      </c>
      <c r="M28" t="str">
        <f t="shared" si="0"/>
        <v>Adolescent</v>
      </c>
      <c r="N28" t="s">
        <v>17</v>
      </c>
    </row>
    <row r="29" spans="1:14" x14ac:dyDescent="0.3">
      <c r="A29">
        <v>18283</v>
      </c>
      <c r="B29" t="s">
        <v>40</v>
      </c>
      <c r="C29" t="s">
        <v>38</v>
      </c>
      <c r="D29" s="3">
        <v>100000</v>
      </c>
      <c r="E29">
        <v>0</v>
      </c>
      <c r="F29" t="s">
        <v>15</v>
      </c>
      <c r="G29" t="s">
        <v>23</v>
      </c>
      <c r="H29" t="s">
        <v>20</v>
      </c>
      <c r="I29">
        <v>1</v>
      </c>
      <c r="J29" t="s">
        <v>26</v>
      </c>
      <c r="K29" t="s">
        <v>27</v>
      </c>
      <c r="L29">
        <v>40</v>
      </c>
      <c r="M29" t="str">
        <f t="shared" si="0"/>
        <v>Middle Age</v>
      </c>
      <c r="N29" t="s">
        <v>20</v>
      </c>
    </row>
    <row r="30" spans="1:14" x14ac:dyDescent="0.3">
      <c r="A30">
        <v>18299</v>
      </c>
      <c r="B30" t="s">
        <v>37</v>
      </c>
      <c r="C30" t="s">
        <v>39</v>
      </c>
      <c r="D30" s="3">
        <v>70000</v>
      </c>
      <c r="E30">
        <v>5</v>
      </c>
      <c r="F30" t="s">
        <v>21</v>
      </c>
      <c r="G30" t="s">
        <v>16</v>
      </c>
      <c r="H30" t="s">
        <v>17</v>
      </c>
      <c r="I30">
        <v>2</v>
      </c>
      <c r="J30" t="s">
        <v>26</v>
      </c>
      <c r="K30" t="s">
        <v>27</v>
      </c>
      <c r="L30">
        <v>44</v>
      </c>
      <c r="M30" t="str">
        <f t="shared" si="0"/>
        <v>Middle Age</v>
      </c>
      <c r="N30" t="s">
        <v>20</v>
      </c>
    </row>
    <row r="31" spans="1:14" x14ac:dyDescent="0.3">
      <c r="A31">
        <v>16466</v>
      </c>
      <c r="B31" t="s">
        <v>40</v>
      </c>
      <c r="C31" t="s">
        <v>38</v>
      </c>
      <c r="D31" s="3">
        <v>20000</v>
      </c>
      <c r="E31">
        <v>0</v>
      </c>
      <c r="F31" t="s">
        <v>32</v>
      </c>
      <c r="G31" t="s">
        <v>28</v>
      </c>
      <c r="H31" t="s">
        <v>20</v>
      </c>
      <c r="I31">
        <v>2</v>
      </c>
      <c r="J31" t="s">
        <v>18</v>
      </c>
      <c r="K31" t="s">
        <v>19</v>
      </c>
      <c r="L31">
        <v>32</v>
      </c>
      <c r="M31" t="str">
        <f t="shared" si="0"/>
        <v>Middle Age</v>
      </c>
      <c r="N31" t="s">
        <v>17</v>
      </c>
    </row>
    <row r="32" spans="1:14" x14ac:dyDescent="0.3">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3">
      <c r="A33">
        <v>22400</v>
      </c>
      <c r="B33" t="s">
        <v>37</v>
      </c>
      <c r="C33" t="s">
        <v>39</v>
      </c>
      <c r="D33" s="3">
        <v>10000</v>
      </c>
      <c r="E33">
        <v>0</v>
      </c>
      <c r="F33" t="s">
        <v>21</v>
      </c>
      <c r="G33" t="s">
        <v>28</v>
      </c>
      <c r="H33" t="s">
        <v>20</v>
      </c>
      <c r="I33">
        <v>1</v>
      </c>
      <c r="J33" t="s">
        <v>18</v>
      </c>
      <c r="K33" t="s">
        <v>27</v>
      </c>
      <c r="L33">
        <v>26</v>
      </c>
      <c r="M33" t="str">
        <f t="shared" si="0"/>
        <v>Adolescent</v>
      </c>
      <c r="N33" t="s">
        <v>17</v>
      </c>
    </row>
    <row r="34" spans="1:14" x14ac:dyDescent="0.3">
      <c r="A34">
        <v>20942</v>
      </c>
      <c r="B34" t="s">
        <v>40</v>
      </c>
      <c r="C34" t="s">
        <v>38</v>
      </c>
      <c r="D34" s="3">
        <v>20000</v>
      </c>
      <c r="E34">
        <v>0</v>
      </c>
      <c r="F34" t="s">
        <v>30</v>
      </c>
      <c r="G34" t="s">
        <v>28</v>
      </c>
      <c r="H34" t="s">
        <v>20</v>
      </c>
      <c r="I34">
        <v>1</v>
      </c>
      <c r="J34" t="s">
        <v>26</v>
      </c>
      <c r="K34" t="s">
        <v>19</v>
      </c>
      <c r="L34">
        <v>31</v>
      </c>
      <c r="M34" t="str">
        <f>IF(L34&gt;54, "Old", IF(L34&gt;30,"Middle Age",IF(L34&lt;31,"Adolescent","Invalid")))</f>
        <v>Middle Age</v>
      </c>
      <c r="N34" t="s">
        <v>20</v>
      </c>
    </row>
    <row r="35" spans="1:14" x14ac:dyDescent="0.3">
      <c r="A35">
        <v>18484</v>
      </c>
      <c r="B35" t="s">
        <v>40</v>
      </c>
      <c r="C35" t="s">
        <v>39</v>
      </c>
      <c r="D35" s="3">
        <v>80000</v>
      </c>
      <c r="E35">
        <v>2</v>
      </c>
      <c r="F35" t="s">
        <v>30</v>
      </c>
      <c r="G35" t="s">
        <v>16</v>
      </c>
      <c r="H35" t="s">
        <v>20</v>
      </c>
      <c r="I35">
        <v>2</v>
      </c>
      <c r="J35" t="s">
        <v>29</v>
      </c>
      <c r="K35" t="s">
        <v>27</v>
      </c>
      <c r="L35">
        <v>50</v>
      </c>
      <c r="M35" t="str">
        <f t="shared" si="0"/>
        <v>Middle Age</v>
      </c>
      <c r="N35" t="s">
        <v>17</v>
      </c>
    </row>
    <row r="36" spans="1:14" x14ac:dyDescent="0.3">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3">
      <c r="A37">
        <v>28380</v>
      </c>
      <c r="B37" t="s">
        <v>40</v>
      </c>
      <c r="C37" t="s">
        <v>38</v>
      </c>
      <c r="D37" s="3">
        <v>10000</v>
      </c>
      <c r="E37">
        <v>5</v>
      </c>
      <c r="F37" t="s">
        <v>32</v>
      </c>
      <c r="G37" t="s">
        <v>28</v>
      </c>
      <c r="H37" t="s">
        <v>20</v>
      </c>
      <c r="I37">
        <v>2</v>
      </c>
      <c r="J37" t="s">
        <v>18</v>
      </c>
      <c r="K37" t="s">
        <v>19</v>
      </c>
      <c r="L37">
        <v>41</v>
      </c>
      <c r="M37" t="str">
        <f t="shared" si="0"/>
        <v>Middle Age</v>
      </c>
      <c r="N37" t="s">
        <v>20</v>
      </c>
    </row>
    <row r="38" spans="1:14" x14ac:dyDescent="0.3">
      <c r="A38">
        <v>17891</v>
      </c>
      <c r="B38" t="s">
        <v>37</v>
      </c>
      <c r="C38" t="s">
        <v>38</v>
      </c>
      <c r="D38" s="3">
        <v>10000</v>
      </c>
      <c r="E38">
        <v>2</v>
      </c>
      <c r="F38" t="s">
        <v>21</v>
      </c>
      <c r="G38" t="s">
        <v>28</v>
      </c>
      <c r="H38" t="s">
        <v>17</v>
      </c>
      <c r="I38">
        <v>1</v>
      </c>
      <c r="J38" t="s">
        <v>18</v>
      </c>
      <c r="K38" t="s">
        <v>19</v>
      </c>
      <c r="L38">
        <v>50</v>
      </c>
      <c r="M38" t="str">
        <f t="shared" si="0"/>
        <v>Middle Age</v>
      </c>
      <c r="N38" t="s">
        <v>17</v>
      </c>
    </row>
    <row r="39" spans="1:14" x14ac:dyDescent="0.3">
      <c r="A39">
        <v>27832</v>
      </c>
      <c r="B39" t="s">
        <v>40</v>
      </c>
      <c r="C39" t="s">
        <v>38</v>
      </c>
      <c r="D39" s="3">
        <v>30000</v>
      </c>
      <c r="E39">
        <v>0</v>
      </c>
      <c r="F39" t="s">
        <v>21</v>
      </c>
      <c r="G39" t="s">
        <v>22</v>
      </c>
      <c r="H39" t="s">
        <v>20</v>
      </c>
      <c r="I39">
        <v>1</v>
      </c>
      <c r="J39" t="s">
        <v>24</v>
      </c>
      <c r="K39" t="s">
        <v>19</v>
      </c>
      <c r="L39">
        <v>30</v>
      </c>
      <c r="M39" t="str">
        <f t="shared" si="0"/>
        <v>Adolescent</v>
      </c>
      <c r="N39" t="s">
        <v>20</v>
      </c>
    </row>
    <row r="40" spans="1:14" x14ac:dyDescent="0.3">
      <c r="A40">
        <v>26863</v>
      </c>
      <c r="B40" t="s">
        <v>40</v>
      </c>
      <c r="C40" t="s">
        <v>39</v>
      </c>
      <c r="D40" s="3">
        <v>20000</v>
      </c>
      <c r="E40">
        <v>0</v>
      </c>
      <c r="F40" t="s">
        <v>30</v>
      </c>
      <c r="G40" t="s">
        <v>28</v>
      </c>
      <c r="H40" t="s">
        <v>20</v>
      </c>
      <c r="I40">
        <v>1</v>
      </c>
      <c r="J40" t="s">
        <v>24</v>
      </c>
      <c r="K40" t="s">
        <v>19</v>
      </c>
      <c r="L40">
        <v>28</v>
      </c>
      <c r="M40" t="str">
        <f t="shared" si="0"/>
        <v>Adolescent</v>
      </c>
      <c r="N40" t="s">
        <v>20</v>
      </c>
    </row>
    <row r="41" spans="1:14" x14ac:dyDescent="0.3">
      <c r="A41">
        <v>16259</v>
      </c>
      <c r="B41" t="s">
        <v>40</v>
      </c>
      <c r="C41" t="s">
        <v>38</v>
      </c>
      <c r="D41" s="3">
        <v>10000</v>
      </c>
      <c r="E41">
        <v>4</v>
      </c>
      <c r="F41" t="s">
        <v>32</v>
      </c>
      <c r="G41" t="s">
        <v>28</v>
      </c>
      <c r="H41" t="s">
        <v>17</v>
      </c>
      <c r="I41">
        <v>2</v>
      </c>
      <c r="J41" t="s">
        <v>18</v>
      </c>
      <c r="K41" t="s">
        <v>19</v>
      </c>
      <c r="L41">
        <v>40</v>
      </c>
      <c r="M41" t="str">
        <f t="shared" si="0"/>
        <v>Middle Age</v>
      </c>
      <c r="N41" t="s">
        <v>17</v>
      </c>
    </row>
    <row r="42" spans="1:14" x14ac:dyDescent="0.3">
      <c r="A42">
        <v>27803</v>
      </c>
      <c r="B42" t="s">
        <v>40</v>
      </c>
      <c r="C42" t="s">
        <v>38</v>
      </c>
      <c r="D42" s="3">
        <v>30000</v>
      </c>
      <c r="E42">
        <v>2</v>
      </c>
      <c r="F42" t="s">
        <v>21</v>
      </c>
      <c r="G42" t="s">
        <v>22</v>
      </c>
      <c r="H42" t="s">
        <v>20</v>
      </c>
      <c r="I42">
        <v>0</v>
      </c>
      <c r="J42" t="s">
        <v>18</v>
      </c>
      <c r="K42" t="s">
        <v>19</v>
      </c>
      <c r="L42">
        <v>43</v>
      </c>
      <c r="M42" t="str">
        <f t="shared" si="0"/>
        <v>Middle Age</v>
      </c>
      <c r="N42" t="s">
        <v>20</v>
      </c>
    </row>
    <row r="43" spans="1:14" x14ac:dyDescent="0.3">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3">
      <c r="A44">
        <v>17703</v>
      </c>
      <c r="B44" t="s">
        <v>37</v>
      </c>
      <c r="C44" t="s">
        <v>38</v>
      </c>
      <c r="D44" s="3">
        <v>10000</v>
      </c>
      <c r="E44">
        <v>1</v>
      </c>
      <c r="F44" t="s">
        <v>34</v>
      </c>
      <c r="G44" t="s">
        <v>28</v>
      </c>
      <c r="H44" t="s">
        <v>17</v>
      </c>
      <c r="I44">
        <v>0</v>
      </c>
      <c r="J44" t="s">
        <v>18</v>
      </c>
      <c r="K44" t="s">
        <v>19</v>
      </c>
      <c r="L44">
        <v>40</v>
      </c>
      <c r="M44" t="str">
        <f t="shared" si="0"/>
        <v>Middle Age</v>
      </c>
      <c r="N44" t="s">
        <v>20</v>
      </c>
    </row>
    <row r="45" spans="1:14" x14ac:dyDescent="0.3">
      <c r="A45">
        <v>17185</v>
      </c>
      <c r="B45" t="s">
        <v>37</v>
      </c>
      <c r="C45" t="s">
        <v>38</v>
      </c>
      <c r="D45" s="3">
        <v>170000</v>
      </c>
      <c r="E45">
        <v>4</v>
      </c>
      <c r="F45" t="s">
        <v>21</v>
      </c>
      <c r="G45" t="s">
        <v>23</v>
      </c>
      <c r="H45" t="s">
        <v>20</v>
      </c>
      <c r="I45">
        <v>3</v>
      </c>
      <c r="J45" t="s">
        <v>26</v>
      </c>
      <c r="K45" t="s">
        <v>19</v>
      </c>
      <c r="L45">
        <v>48</v>
      </c>
      <c r="M45" t="str">
        <f t="shared" si="0"/>
        <v>Middle Age</v>
      </c>
      <c r="N45" t="s">
        <v>17</v>
      </c>
    </row>
    <row r="46" spans="1:14" x14ac:dyDescent="0.3">
      <c r="A46">
        <v>29380</v>
      </c>
      <c r="B46" t="s">
        <v>37</v>
      </c>
      <c r="C46" t="s">
        <v>38</v>
      </c>
      <c r="D46" s="3">
        <v>20000</v>
      </c>
      <c r="E46">
        <v>3</v>
      </c>
      <c r="F46" t="s">
        <v>30</v>
      </c>
      <c r="G46" t="s">
        <v>28</v>
      </c>
      <c r="H46" t="s">
        <v>17</v>
      </c>
      <c r="I46">
        <v>0</v>
      </c>
      <c r="J46" t="s">
        <v>18</v>
      </c>
      <c r="K46" t="s">
        <v>19</v>
      </c>
      <c r="L46">
        <v>41</v>
      </c>
      <c r="M46" t="str">
        <f t="shared" si="0"/>
        <v>Middle Age</v>
      </c>
      <c r="N46" t="s">
        <v>17</v>
      </c>
    </row>
    <row r="47" spans="1:14" x14ac:dyDescent="0.3">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3">
      <c r="A48">
        <v>24466</v>
      </c>
      <c r="B48" t="s">
        <v>37</v>
      </c>
      <c r="C48" t="s">
        <v>38</v>
      </c>
      <c r="D48" s="3">
        <v>60000</v>
      </c>
      <c r="E48">
        <v>1</v>
      </c>
      <c r="F48" t="s">
        <v>21</v>
      </c>
      <c r="G48" t="s">
        <v>16</v>
      </c>
      <c r="H48" t="s">
        <v>17</v>
      </c>
      <c r="I48">
        <v>1</v>
      </c>
      <c r="J48" t="s">
        <v>26</v>
      </c>
      <c r="K48" t="s">
        <v>27</v>
      </c>
      <c r="L48">
        <v>46</v>
      </c>
      <c r="M48" t="str">
        <f t="shared" si="0"/>
        <v>Middle Age</v>
      </c>
      <c r="N48" t="s">
        <v>17</v>
      </c>
    </row>
    <row r="49" spans="1:14" x14ac:dyDescent="0.3">
      <c r="A49">
        <v>29097</v>
      </c>
      <c r="B49" t="s">
        <v>40</v>
      </c>
      <c r="C49" t="s">
        <v>38</v>
      </c>
      <c r="D49" s="3">
        <v>40000</v>
      </c>
      <c r="E49">
        <v>2</v>
      </c>
      <c r="F49" t="s">
        <v>21</v>
      </c>
      <c r="G49" t="s">
        <v>16</v>
      </c>
      <c r="H49" t="s">
        <v>17</v>
      </c>
      <c r="I49">
        <v>2</v>
      </c>
      <c r="J49" t="s">
        <v>26</v>
      </c>
      <c r="K49" t="s">
        <v>27</v>
      </c>
      <c r="L49">
        <v>52</v>
      </c>
      <c r="M49" t="str">
        <f t="shared" si="0"/>
        <v>Middle Age</v>
      </c>
      <c r="N49" t="s">
        <v>17</v>
      </c>
    </row>
    <row r="50" spans="1:14" x14ac:dyDescent="0.3">
      <c r="A50">
        <v>19487</v>
      </c>
      <c r="B50" t="s">
        <v>37</v>
      </c>
      <c r="C50" t="s">
        <v>39</v>
      </c>
      <c r="D50" s="3">
        <v>30000</v>
      </c>
      <c r="E50">
        <v>2</v>
      </c>
      <c r="F50" t="s">
        <v>21</v>
      </c>
      <c r="G50" t="s">
        <v>22</v>
      </c>
      <c r="H50" t="s">
        <v>20</v>
      </c>
      <c r="I50">
        <v>2</v>
      </c>
      <c r="J50" t="s">
        <v>18</v>
      </c>
      <c r="K50" t="s">
        <v>19</v>
      </c>
      <c r="L50">
        <v>42</v>
      </c>
      <c r="M50" t="str">
        <f t="shared" si="0"/>
        <v>Middle Age</v>
      </c>
      <c r="N50" t="s">
        <v>20</v>
      </c>
    </row>
    <row r="51" spans="1:14" x14ac:dyDescent="0.3">
      <c r="A51">
        <v>14939</v>
      </c>
      <c r="B51" t="s">
        <v>40</v>
      </c>
      <c r="C51" t="s">
        <v>39</v>
      </c>
      <c r="D51" s="3">
        <v>40000</v>
      </c>
      <c r="E51">
        <v>0</v>
      </c>
      <c r="F51" t="s">
        <v>15</v>
      </c>
      <c r="G51" t="s">
        <v>22</v>
      </c>
      <c r="H51" t="s">
        <v>17</v>
      </c>
      <c r="I51">
        <v>0</v>
      </c>
      <c r="J51" t="s">
        <v>18</v>
      </c>
      <c r="K51" t="s">
        <v>19</v>
      </c>
      <c r="L51">
        <v>39</v>
      </c>
      <c r="M51" t="str">
        <f t="shared" si="0"/>
        <v>Middle Age</v>
      </c>
      <c r="N51" t="s">
        <v>17</v>
      </c>
    </row>
    <row r="52" spans="1:14" x14ac:dyDescent="0.3">
      <c r="A52">
        <v>13826</v>
      </c>
      <c r="B52" t="s">
        <v>40</v>
      </c>
      <c r="C52" t="s">
        <v>38</v>
      </c>
      <c r="D52" s="3">
        <v>30000</v>
      </c>
      <c r="E52">
        <v>0</v>
      </c>
      <c r="F52" t="s">
        <v>21</v>
      </c>
      <c r="G52" t="s">
        <v>22</v>
      </c>
      <c r="H52" t="s">
        <v>20</v>
      </c>
      <c r="I52">
        <v>1</v>
      </c>
      <c r="J52" t="s">
        <v>18</v>
      </c>
      <c r="K52" t="s">
        <v>19</v>
      </c>
      <c r="L52">
        <v>28</v>
      </c>
      <c r="M52" t="str">
        <f t="shared" si="0"/>
        <v>Adolescent</v>
      </c>
      <c r="N52" t="s">
        <v>20</v>
      </c>
    </row>
    <row r="53" spans="1:14" x14ac:dyDescent="0.3">
      <c r="A53">
        <v>20619</v>
      </c>
      <c r="B53" t="s">
        <v>40</v>
      </c>
      <c r="C53" t="s">
        <v>39</v>
      </c>
      <c r="D53" s="3">
        <v>80000</v>
      </c>
      <c r="E53">
        <v>0</v>
      </c>
      <c r="F53" t="s">
        <v>15</v>
      </c>
      <c r="G53" t="s">
        <v>23</v>
      </c>
      <c r="H53" t="s">
        <v>20</v>
      </c>
      <c r="I53">
        <v>4</v>
      </c>
      <c r="J53" t="s">
        <v>41</v>
      </c>
      <c r="K53" t="s">
        <v>27</v>
      </c>
      <c r="L53">
        <v>35</v>
      </c>
      <c r="M53" t="str">
        <f t="shared" si="0"/>
        <v>Middle Age</v>
      </c>
      <c r="N53" t="s">
        <v>20</v>
      </c>
    </row>
    <row r="54" spans="1:14" x14ac:dyDescent="0.3">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3">
      <c r="A55">
        <v>24871</v>
      </c>
      <c r="B55" t="s">
        <v>40</v>
      </c>
      <c r="C55" t="s">
        <v>38</v>
      </c>
      <c r="D55" s="3">
        <v>90000</v>
      </c>
      <c r="E55">
        <v>4</v>
      </c>
      <c r="F55" t="s">
        <v>30</v>
      </c>
      <c r="G55" t="s">
        <v>31</v>
      </c>
      <c r="H55" t="s">
        <v>20</v>
      </c>
      <c r="I55">
        <v>3</v>
      </c>
      <c r="J55" t="s">
        <v>26</v>
      </c>
      <c r="K55" t="s">
        <v>19</v>
      </c>
      <c r="L55">
        <v>56</v>
      </c>
      <c r="M55" t="str">
        <f t="shared" si="0"/>
        <v>Old</v>
      </c>
      <c r="N55" t="s">
        <v>20</v>
      </c>
    </row>
    <row r="56" spans="1:14" x14ac:dyDescent="0.3">
      <c r="A56">
        <v>17319</v>
      </c>
      <c r="B56" t="s">
        <v>40</v>
      </c>
      <c r="C56" t="s">
        <v>38</v>
      </c>
      <c r="D56" s="3">
        <v>70000</v>
      </c>
      <c r="E56">
        <v>0</v>
      </c>
      <c r="F56" t="s">
        <v>15</v>
      </c>
      <c r="G56" t="s">
        <v>23</v>
      </c>
      <c r="H56" t="s">
        <v>20</v>
      </c>
      <c r="I56">
        <v>1</v>
      </c>
      <c r="J56" t="s">
        <v>26</v>
      </c>
      <c r="K56" t="s">
        <v>27</v>
      </c>
      <c r="L56">
        <v>42</v>
      </c>
      <c r="M56" t="str">
        <f t="shared" si="0"/>
        <v>Middle Age</v>
      </c>
      <c r="N56" t="s">
        <v>20</v>
      </c>
    </row>
    <row r="57" spans="1:14" x14ac:dyDescent="0.3">
      <c r="A57">
        <v>28906</v>
      </c>
      <c r="B57" t="s">
        <v>37</v>
      </c>
      <c r="C57" t="s">
        <v>39</v>
      </c>
      <c r="D57" s="3">
        <v>80000</v>
      </c>
      <c r="E57">
        <v>4</v>
      </c>
      <c r="F57" t="s">
        <v>30</v>
      </c>
      <c r="G57" t="s">
        <v>23</v>
      </c>
      <c r="H57" t="s">
        <v>17</v>
      </c>
      <c r="I57">
        <v>2</v>
      </c>
      <c r="J57" t="s">
        <v>41</v>
      </c>
      <c r="K57" t="s">
        <v>19</v>
      </c>
      <c r="L57">
        <v>54</v>
      </c>
      <c r="M57" t="str">
        <f t="shared" si="0"/>
        <v>Middle Age</v>
      </c>
      <c r="N57" t="s">
        <v>20</v>
      </c>
    </row>
    <row r="58" spans="1:14" x14ac:dyDescent="0.3">
      <c r="A58">
        <v>12808</v>
      </c>
      <c r="B58" t="s">
        <v>37</v>
      </c>
      <c r="C58" t="s">
        <v>39</v>
      </c>
      <c r="D58" s="3">
        <v>40000</v>
      </c>
      <c r="E58">
        <v>0</v>
      </c>
      <c r="F58" t="s">
        <v>15</v>
      </c>
      <c r="G58" t="s">
        <v>22</v>
      </c>
      <c r="H58" t="s">
        <v>17</v>
      </c>
      <c r="I58">
        <v>0</v>
      </c>
      <c r="J58" t="s">
        <v>18</v>
      </c>
      <c r="K58" t="s">
        <v>19</v>
      </c>
      <c r="L58">
        <v>38</v>
      </c>
      <c r="M58" t="str">
        <f t="shared" si="0"/>
        <v>Middle Age</v>
      </c>
      <c r="N58" t="s">
        <v>17</v>
      </c>
    </row>
    <row r="59" spans="1:14" x14ac:dyDescent="0.3">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3">
      <c r="A60">
        <v>25502</v>
      </c>
      <c r="B60" t="s">
        <v>37</v>
      </c>
      <c r="C60" t="s">
        <v>38</v>
      </c>
      <c r="D60" s="3">
        <v>40000</v>
      </c>
      <c r="E60">
        <v>1</v>
      </c>
      <c r="F60" t="s">
        <v>15</v>
      </c>
      <c r="G60" t="s">
        <v>16</v>
      </c>
      <c r="H60" t="s">
        <v>17</v>
      </c>
      <c r="I60">
        <v>0</v>
      </c>
      <c r="J60" t="s">
        <v>18</v>
      </c>
      <c r="K60" t="s">
        <v>19</v>
      </c>
      <c r="L60">
        <v>43</v>
      </c>
      <c r="M60" t="str">
        <f t="shared" si="0"/>
        <v>Middle Age</v>
      </c>
      <c r="N60" t="s">
        <v>17</v>
      </c>
    </row>
    <row r="61" spans="1:14" x14ac:dyDescent="0.3">
      <c r="A61">
        <v>15580</v>
      </c>
      <c r="B61" t="s">
        <v>37</v>
      </c>
      <c r="C61" t="s">
        <v>39</v>
      </c>
      <c r="D61" s="3">
        <v>60000</v>
      </c>
      <c r="E61">
        <v>2</v>
      </c>
      <c r="F61" t="s">
        <v>15</v>
      </c>
      <c r="G61" t="s">
        <v>23</v>
      </c>
      <c r="H61" t="s">
        <v>17</v>
      </c>
      <c r="I61">
        <v>1</v>
      </c>
      <c r="J61" t="s">
        <v>24</v>
      </c>
      <c r="K61" t="s">
        <v>27</v>
      </c>
      <c r="L61">
        <v>38</v>
      </c>
      <c r="M61" t="str">
        <f t="shared" si="0"/>
        <v>Middle Age</v>
      </c>
      <c r="N61" t="s">
        <v>17</v>
      </c>
    </row>
    <row r="62" spans="1:14" x14ac:dyDescent="0.3">
      <c r="A62">
        <v>24185</v>
      </c>
      <c r="B62" t="s">
        <v>40</v>
      </c>
      <c r="C62" t="s">
        <v>38</v>
      </c>
      <c r="D62" s="3">
        <v>10000</v>
      </c>
      <c r="E62">
        <v>1</v>
      </c>
      <c r="F62" t="s">
        <v>30</v>
      </c>
      <c r="G62" t="s">
        <v>28</v>
      </c>
      <c r="H62" t="s">
        <v>20</v>
      </c>
      <c r="I62">
        <v>1</v>
      </c>
      <c r="J62" t="s">
        <v>29</v>
      </c>
      <c r="K62" t="s">
        <v>19</v>
      </c>
      <c r="L62">
        <v>45</v>
      </c>
      <c r="M62" t="str">
        <f t="shared" si="0"/>
        <v>Middle Age</v>
      </c>
      <c r="N62" t="s">
        <v>20</v>
      </c>
    </row>
    <row r="63" spans="1:14" x14ac:dyDescent="0.3">
      <c r="A63">
        <v>19291</v>
      </c>
      <c r="B63" t="s">
        <v>40</v>
      </c>
      <c r="C63" t="s">
        <v>38</v>
      </c>
      <c r="D63" s="3">
        <v>10000</v>
      </c>
      <c r="E63">
        <v>2</v>
      </c>
      <c r="F63" t="s">
        <v>30</v>
      </c>
      <c r="G63" t="s">
        <v>28</v>
      </c>
      <c r="H63" t="s">
        <v>17</v>
      </c>
      <c r="I63">
        <v>0</v>
      </c>
      <c r="J63" t="s">
        <v>18</v>
      </c>
      <c r="K63" t="s">
        <v>19</v>
      </c>
      <c r="L63">
        <v>35</v>
      </c>
      <c r="M63" t="str">
        <f t="shared" si="0"/>
        <v>Middle Age</v>
      </c>
      <c r="N63" t="s">
        <v>20</v>
      </c>
    </row>
    <row r="64" spans="1:14" x14ac:dyDescent="0.3">
      <c r="A64">
        <v>16713</v>
      </c>
      <c r="B64" t="s">
        <v>37</v>
      </c>
      <c r="C64" t="s">
        <v>39</v>
      </c>
      <c r="D64" s="3">
        <v>40000</v>
      </c>
      <c r="E64">
        <v>2</v>
      </c>
      <c r="F64" t="s">
        <v>15</v>
      </c>
      <c r="G64" t="s">
        <v>31</v>
      </c>
      <c r="H64" t="s">
        <v>17</v>
      </c>
      <c r="I64">
        <v>1</v>
      </c>
      <c r="J64" t="s">
        <v>18</v>
      </c>
      <c r="K64" t="s">
        <v>27</v>
      </c>
      <c r="L64">
        <v>52</v>
      </c>
      <c r="M64" t="str">
        <f t="shared" si="0"/>
        <v>Middle Age</v>
      </c>
      <c r="N64" t="s">
        <v>17</v>
      </c>
    </row>
    <row r="65" spans="1:14" x14ac:dyDescent="0.3">
      <c r="A65">
        <v>16185</v>
      </c>
      <c r="B65" t="s">
        <v>40</v>
      </c>
      <c r="C65" t="s">
        <v>39</v>
      </c>
      <c r="D65" s="3">
        <v>60000</v>
      </c>
      <c r="E65">
        <v>4</v>
      </c>
      <c r="F65" t="s">
        <v>15</v>
      </c>
      <c r="G65" t="s">
        <v>23</v>
      </c>
      <c r="H65" t="s">
        <v>17</v>
      </c>
      <c r="I65">
        <v>3</v>
      </c>
      <c r="J65" t="s">
        <v>41</v>
      </c>
      <c r="K65" t="s">
        <v>27</v>
      </c>
      <c r="L65">
        <v>41</v>
      </c>
      <c r="M65" t="str">
        <f t="shared" si="0"/>
        <v>Middle Age</v>
      </c>
      <c r="N65" t="s">
        <v>20</v>
      </c>
    </row>
    <row r="66" spans="1:14" x14ac:dyDescent="0.3">
      <c r="A66">
        <v>14927</v>
      </c>
      <c r="B66" t="s">
        <v>37</v>
      </c>
      <c r="C66" t="s">
        <v>38</v>
      </c>
      <c r="D66" s="3">
        <v>30000</v>
      </c>
      <c r="E66">
        <v>1</v>
      </c>
      <c r="F66" t="s">
        <v>15</v>
      </c>
      <c r="G66" t="s">
        <v>22</v>
      </c>
      <c r="H66" t="s">
        <v>17</v>
      </c>
      <c r="I66">
        <v>0</v>
      </c>
      <c r="J66" t="s">
        <v>18</v>
      </c>
      <c r="K66" t="s">
        <v>19</v>
      </c>
      <c r="L66">
        <v>37</v>
      </c>
      <c r="M66" t="str">
        <f t="shared" si="0"/>
        <v>Middle Age</v>
      </c>
      <c r="N66" t="s">
        <v>17</v>
      </c>
    </row>
    <row r="67" spans="1:14" x14ac:dyDescent="0.3">
      <c r="A67">
        <v>29337</v>
      </c>
      <c r="B67" t="s">
        <v>40</v>
      </c>
      <c r="C67" t="s">
        <v>39</v>
      </c>
      <c r="D67" s="3">
        <v>30000</v>
      </c>
      <c r="E67">
        <v>2</v>
      </c>
      <c r="F67" t="s">
        <v>21</v>
      </c>
      <c r="G67" t="s">
        <v>22</v>
      </c>
      <c r="H67" t="s">
        <v>17</v>
      </c>
      <c r="I67">
        <v>2</v>
      </c>
      <c r="J67" t="s">
        <v>26</v>
      </c>
      <c r="K67" t="s">
        <v>27</v>
      </c>
      <c r="L67">
        <v>68</v>
      </c>
      <c r="M67" t="str">
        <f t="shared" ref="M67:M130" si="1">IF(L67&gt;54, "Old", IF(L67&gt;31,"Middle Age",IF(L67&lt;31,"Adolescent","Invalid")))</f>
        <v>Old</v>
      </c>
      <c r="N67" t="s">
        <v>20</v>
      </c>
    </row>
    <row r="68" spans="1:14" x14ac:dyDescent="0.3">
      <c r="A68">
        <v>29355</v>
      </c>
      <c r="B68" t="s">
        <v>37</v>
      </c>
      <c r="C68" t="s">
        <v>38</v>
      </c>
      <c r="D68" s="3">
        <v>40000</v>
      </c>
      <c r="E68">
        <v>0</v>
      </c>
      <c r="F68" t="s">
        <v>34</v>
      </c>
      <c r="G68" t="s">
        <v>22</v>
      </c>
      <c r="H68" t="s">
        <v>17</v>
      </c>
      <c r="I68">
        <v>0</v>
      </c>
      <c r="J68" t="s">
        <v>18</v>
      </c>
      <c r="K68" t="s">
        <v>19</v>
      </c>
      <c r="L68">
        <v>37</v>
      </c>
      <c r="M68" t="str">
        <f t="shared" si="1"/>
        <v>Middle Age</v>
      </c>
      <c r="N68" t="s">
        <v>17</v>
      </c>
    </row>
    <row r="69" spans="1:14" x14ac:dyDescent="0.3">
      <c r="A69">
        <v>25303</v>
      </c>
      <c r="B69" t="s">
        <v>40</v>
      </c>
      <c r="C69" t="s">
        <v>39</v>
      </c>
      <c r="D69" s="3">
        <v>30000</v>
      </c>
      <c r="E69">
        <v>0</v>
      </c>
      <c r="F69" t="s">
        <v>30</v>
      </c>
      <c r="G69" t="s">
        <v>28</v>
      </c>
      <c r="H69" t="s">
        <v>17</v>
      </c>
      <c r="I69">
        <v>1</v>
      </c>
      <c r="J69" t="s">
        <v>24</v>
      </c>
      <c r="K69" t="s">
        <v>19</v>
      </c>
      <c r="L69">
        <v>33</v>
      </c>
      <c r="M69" t="str">
        <f t="shared" si="1"/>
        <v>Middle Age</v>
      </c>
      <c r="N69" t="s">
        <v>17</v>
      </c>
    </row>
    <row r="70" spans="1:14" x14ac:dyDescent="0.3">
      <c r="A70">
        <v>14813</v>
      </c>
      <c r="B70" t="s">
        <v>40</v>
      </c>
      <c r="C70" t="s">
        <v>38</v>
      </c>
      <c r="D70" s="3">
        <v>20000</v>
      </c>
      <c r="E70">
        <v>4</v>
      </c>
      <c r="F70" t="s">
        <v>30</v>
      </c>
      <c r="G70" t="s">
        <v>28</v>
      </c>
      <c r="H70" t="s">
        <v>17</v>
      </c>
      <c r="I70">
        <v>1</v>
      </c>
      <c r="J70" t="s">
        <v>18</v>
      </c>
      <c r="K70" t="s">
        <v>19</v>
      </c>
      <c r="L70">
        <v>43</v>
      </c>
      <c r="M70" t="str">
        <f t="shared" si="1"/>
        <v>Middle Age</v>
      </c>
      <c r="N70" t="s">
        <v>17</v>
      </c>
    </row>
    <row r="71" spans="1:14" x14ac:dyDescent="0.3">
      <c r="A71">
        <v>16438</v>
      </c>
      <c r="B71" t="s">
        <v>37</v>
      </c>
      <c r="C71" t="s">
        <v>38</v>
      </c>
      <c r="D71" s="3">
        <v>10000</v>
      </c>
      <c r="E71">
        <v>0</v>
      </c>
      <c r="F71" t="s">
        <v>32</v>
      </c>
      <c r="G71" t="s">
        <v>28</v>
      </c>
      <c r="H71" t="s">
        <v>20</v>
      </c>
      <c r="I71">
        <v>2</v>
      </c>
      <c r="J71" t="s">
        <v>18</v>
      </c>
      <c r="K71" t="s">
        <v>19</v>
      </c>
      <c r="L71">
        <v>30</v>
      </c>
      <c r="M71" t="str">
        <f t="shared" si="1"/>
        <v>Adolescent</v>
      </c>
      <c r="N71" t="s">
        <v>20</v>
      </c>
    </row>
    <row r="72" spans="1:14" x14ac:dyDescent="0.3">
      <c r="A72">
        <v>14238</v>
      </c>
      <c r="B72" t="s">
        <v>37</v>
      </c>
      <c r="C72" t="s">
        <v>39</v>
      </c>
      <c r="D72" s="3">
        <v>120000</v>
      </c>
      <c r="E72">
        <v>0</v>
      </c>
      <c r="F72" t="s">
        <v>32</v>
      </c>
      <c r="G72" t="s">
        <v>23</v>
      </c>
      <c r="H72" t="s">
        <v>17</v>
      </c>
      <c r="I72">
        <v>4</v>
      </c>
      <c r="J72" t="s">
        <v>41</v>
      </c>
      <c r="K72" t="s">
        <v>27</v>
      </c>
      <c r="L72">
        <v>36</v>
      </c>
      <c r="M72" t="str">
        <f t="shared" si="1"/>
        <v>Middle Age</v>
      </c>
      <c r="N72" t="s">
        <v>17</v>
      </c>
    </row>
    <row r="73" spans="1:14" x14ac:dyDescent="0.3">
      <c r="A73">
        <v>16200</v>
      </c>
      <c r="B73" t="s">
        <v>40</v>
      </c>
      <c r="C73" t="s">
        <v>38</v>
      </c>
      <c r="D73" s="3">
        <v>10000</v>
      </c>
      <c r="E73">
        <v>0</v>
      </c>
      <c r="F73" t="s">
        <v>32</v>
      </c>
      <c r="G73" t="s">
        <v>28</v>
      </c>
      <c r="H73" t="s">
        <v>20</v>
      </c>
      <c r="I73">
        <v>2</v>
      </c>
      <c r="J73" t="s">
        <v>18</v>
      </c>
      <c r="K73" t="s">
        <v>19</v>
      </c>
      <c r="L73">
        <v>35</v>
      </c>
      <c r="M73" t="str">
        <f t="shared" si="1"/>
        <v>Middle Age</v>
      </c>
      <c r="N73" t="s">
        <v>20</v>
      </c>
    </row>
    <row r="74" spans="1:14" x14ac:dyDescent="0.3">
      <c r="A74">
        <v>24857</v>
      </c>
      <c r="B74" t="s">
        <v>37</v>
      </c>
      <c r="C74" t="s">
        <v>38</v>
      </c>
      <c r="D74" s="3">
        <v>130000</v>
      </c>
      <c r="E74">
        <v>3</v>
      </c>
      <c r="F74" t="s">
        <v>30</v>
      </c>
      <c r="G74" t="s">
        <v>23</v>
      </c>
      <c r="H74" t="s">
        <v>17</v>
      </c>
      <c r="I74">
        <v>4</v>
      </c>
      <c r="J74" t="s">
        <v>18</v>
      </c>
      <c r="K74" t="s">
        <v>19</v>
      </c>
      <c r="L74">
        <v>52</v>
      </c>
      <c r="M74" t="str">
        <f t="shared" si="1"/>
        <v>Middle Age</v>
      </c>
      <c r="N74" t="s">
        <v>20</v>
      </c>
    </row>
    <row r="75" spans="1:14" x14ac:dyDescent="0.3">
      <c r="A75">
        <v>26956</v>
      </c>
      <c r="B75" t="s">
        <v>40</v>
      </c>
      <c r="C75" t="s">
        <v>38</v>
      </c>
      <c r="D75" s="3">
        <v>20000</v>
      </c>
      <c r="E75">
        <v>0</v>
      </c>
      <c r="F75" t="s">
        <v>21</v>
      </c>
      <c r="G75" t="s">
        <v>28</v>
      </c>
      <c r="H75" t="s">
        <v>20</v>
      </c>
      <c r="I75">
        <v>1</v>
      </c>
      <c r="J75" t="s">
        <v>24</v>
      </c>
      <c r="K75" t="s">
        <v>19</v>
      </c>
      <c r="L75">
        <v>36</v>
      </c>
      <c r="M75" t="str">
        <f t="shared" si="1"/>
        <v>Middle Age</v>
      </c>
      <c r="N75" t="s">
        <v>17</v>
      </c>
    </row>
    <row r="76" spans="1:14" x14ac:dyDescent="0.3">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3">
      <c r="A77">
        <v>12678</v>
      </c>
      <c r="B77" t="s">
        <v>40</v>
      </c>
      <c r="C77" t="s">
        <v>38</v>
      </c>
      <c r="D77" s="3">
        <v>130000</v>
      </c>
      <c r="E77">
        <v>4</v>
      </c>
      <c r="F77" t="s">
        <v>30</v>
      </c>
      <c r="G77" t="s">
        <v>31</v>
      </c>
      <c r="H77" t="s">
        <v>17</v>
      </c>
      <c r="I77">
        <v>4</v>
      </c>
      <c r="J77" t="s">
        <v>18</v>
      </c>
      <c r="K77" t="s">
        <v>27</v>
      </c>
      <c r="L77">
        <v>31</v>
      </c>
      <c r="M77" t="str">
        <f>IF(L77&gt;54, "Old", IF(L77&gt;30,"Middle Age",IF(L77&lt;31,"Adolescent","Invalid")))</f>
        <v>Middle Age</v>
      </c>
      <c r="N77" t="s">
        <v>20</v>
      </c>
    </row>
    <row r="78" spans="1:14" x14ac:dyDescent="0.3">
      <c r="A78">
        <v>16188</v>
      </c>
      <c r="B78" t="s">
        <v>40</v>
      </c>
      <c r="C78" t="s">
        <v>38</v>
      </c>
      <c r="D78" s="3">
        <v>20000</v>
      </c>
      <c r="E78">
        <v>0</v>
      </c>
      <c r="F78" t="s">
        <v>32</v>
      </c>
      <c r="G78" t="s">
        <v>28</v>
      </c>
      <c r="H78" t="s">
        <v>20</v>
      </c>
      <c r="I78">
        <v>2</v>
      </c>
      <c r="J78" t="s">
        <v>29</v>
      </c>
      <c r="K78" t="s">
        <v>19</v>
      </c>
      <c r="L78">
        <v>26</v>
      </c>
      <c r="M78" t="str">
        <f t="shared" si="1"/>
        <v>Adolescent</v>
      </c>
      <c r="N78" t="s">
        <v>20</v>
      </c>
    </row>
    <row r="79" spans="1:14" x14ac:dyDescent="0.3">
      <c r="A79">
        <v>27969</v>
      </c>
      <c r="B79" t="s">
        <v>37</v>
      </c>
      <c r="C79" t="s">
        <v>39</v>
      </c>
      <c r="D79" s="3">
        <v>80000</v>
      </c>
      <c r="E79">
        <v>0</v>
      </c>
      <c r="F79" t="s">
        <v>15</v>
      </c>
      <c r="G79" t="s">
        <v>23</v>
      </c>
      <c r="H79" t="s">
        <v>17</v>
      </c>
      <c r="I79">
        <v>2</v>
      </c>
      <c r="J79" t="s">
        <v>41</v>
      </c>
      <c r="K79" t="s">
        <v>27</v>
      </c>
      <c r="L79">
        <v>29</v>
      </c>
      <c r="M79" t="str">
        <f t="shared" si="1"/>
        <v>Adolescent</v>
      </c>
      <c r="N79" t="s">
        <v>17</v>
      </c>
    </row>
    <row r="80" spans="1:14" x14ac:dyDescent="0.3">
      <c r="A80">
        <v>15752</v>
      </c>
      <c r="B80" t="s">
        <v>37</v>
      </c>
      <c r="C80" t="s">
        <v>39</v>
      </c>
      <c r="D80" s="3">
        <v>80000</v>
      </c>
      <c r="E80">
        <v>2</v>
      </c>
      <c r="F80" t="s">
        <v>30</v>
      </c>
      <c r="G80" t="s">
        <v>16</v>
      </c>
      <c r="H80" t="s">
        <v>20</v>
      </c>
      <c r="I80">
        <v>2</v>
      </c>
      <c r="J80" t="s">
        <v>29</v>
      </c>
      <c r="K80" t="s">
        <v>27</v>
      </c>
      <c r="L80">
        <v>50</v>
      </c>
      <c r="M80" t="str">
        <f t="shared" si="1"/>
        <v>Middle Age</v>
      </c>
      <c r="N80" t="s">
        <v>17</v>
      </c>
    </row>
    <row r="81" spans="1:14" x14ac:dyDescent="0.3">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3">
      <c r="A82">
        <v>20828</v>
      </c>
      <c r="B82" t="s">
        <v>37</v>
      </c>
      <c r="C82" t="s">
        <v>38</v>
      </c>
      <c r="D82" s="3">
        <v>30000</v>
      </c>
      <c r="E82">
        <v>4</v>
      </c>
      <c r="F82" t="s">
        <v>34</v>
      </c>
      <c r="G82" t="s">
        <v>22</v>
      </c>
      <c r="H82" t="s">
        <v>17</v>
      </c>
      <c r="I82">
        <v>0</v>
      </c>
      <c r="J82" t="s">
        <v>18</v>
      </c>
      <c r="K82" t="s">
        <v>19</v>
      </c>
      <c r="L82">
        <v>45</v>
      </c>
      <c r="M82" t="str">
        <f t="shared" si="1"/>
        <v>Middle Age</v>
      </c>
      <c r="N82" t="s">
        <v>17</v>
      </c>
    </row>
    <row r="83" spans="1:14" x14ac:dyDescent="0.3">
      <c r="A83">
        <v>19461</v>
      </c>
      <c r="B83" t="s">
        <v>40</v>
      </c>
      <c r="C83" t="s">
        <v>38</v>
      </c>
      <c r="D83" s="3">
        <v>10000</v>
      </c>
      <c r="E83">
        <v>4</v>
      </c>
      <c r="F83" t="s">
        <v>32</v>
      </c>
      <c r="G83" t="s">
        <v>28</v>
      </c>
      <c r="H83" t="s">
        <v>17</v>
      </c>
      <c r="I83">
        <v>2</v>
      </c>
      <c r="J83" t="s">
        <v>18</v>
      </c>
      <c r="K83" t="s">
        <v>19</v>
      </c>
      <c r="L83">
        <v>40</v>
      </c>
      <c r="M83" t="str">
        <f t="shared" si="1"/>
        <v>Middle Age</v>
      </c>
      <c r="N83" t="s">
        <v>20</v>
      </c>
    </row>
    <row r="84" spans="1:14" x14ac:dyDescent="0.3">
      <c r="A84">
        <v>26941</v>
      </c>
      <c r="B84" t="s">
        <v>37</v>
      </c>
      <c r="C84" t="s">
        <v>39</v>
      </c>
      <c r="D84" s="3">
        <v>30000</v>
      </c>
      <c r="E84">
        <v>0</v>
      </c>
      <c r="F84" t="s">
        <v>15</v>
      </c>
      <c r="G84" t="s">
        <v>22</v>
      </c>
      <c r="H84" t="s">
        <v>17</v>
      </c>
      <c r="I84">
        <v>0</v>
      </c>
      <c r="J84" t="s">
        <v>18</v>
      </c>
      <c r="K84" t="s">
        <v>19</v>
      </c>
      <c r="L84">
        <v>47</v>
      </c>
      <c r="M84" t="str">
        <f t="shared" si="1"/>
        <v>Middle Age</v>
      </c>
      <c r="N84" t="s">
        <v>17</v>
      </c>
    </row>
    <row r="85" spans="1:14" x14ac:dyDescent="0.3">
      <c r="A85">
        <v>28412</v>
      </c>
      <c r="B85" t="s">
        <v>40</v>
      </c>
      <c r="C85" t="s">
        <v>39</v>
      </c>
      <c r="D85" s="3">
        <v>20000</v>
      </c>
      <c r="E85">
        <v>0</v>
      </c>
      <c r="F85" t="s">
        <v>30</v>
      </c>
      <c r="G85" t="s">
        <v>28</v>
      </c>
      <c r="H85" t="s">
        <v>20</v>
      </c>
      <c r="I85">
        <v>1</v>
      </c>
      <c r="J85" t="s">
        <v>24</v>
      </c>
      <c r="K85" t="s">
        <v>19</v>
      </c>
      <c r="L85">
        <v>29</v>
      </c>
      <c r="M85" t="str">
        <f t="shared" si="1"/>
        <v>Adolescent</v>
      </c>
      <c r="N85" t="s">
        <v>20</v>
      </c>
    </row>
    <row r="86" spans="1:14" x14ac:dyDescent="0.3">
      <c r="A86">
        <v>24485</v>
      </c>
      <c r="B86" t="s">
        <v>40</v>
      </c>
      <c r="C86" t="s">
        <v>39</v>
      </c>
      <c r="D86" s="3">
        <v>40000</v>
      </c>
      <c r="E86">
        <v>2</v>
      </c>
      <c r="F86" t="s">
        <v>15</v>
      </c>
      <c r="G86" t="s">
        <v>31</v>
      </c>
      <c r="H86" t="s">
        <v>20</v>
      </c>
      <c r="I86">
        <v>1</v>
      </c>
      <c r="J86" t="s">
        <v>26</v>
      </c>
      <c r="K86" t="s">
        <v>27</v>
      </c>
      <c r="L86">
        <v>52</v>
      </c>
      <c r="M86" t="str">
        <f t="shared" si="1"/>
        <v>Middle Age</v>
      </c>
      <c r="N86" t="s">
        <v>17</v>
      </c>
    </row>
    <row r="87" spans="1:14" x14ac:dyDescent="0.3">
      <c r="A87">
        <v>16514</v>
      </c>
      <c r="B87" t="s">
        <v>40</v>
      </c>
      <c r="C87" t="s">
        <v>39</v>
      </c>
      <c r="D87" s="3">
        <v>10000</v>
      </c>
      <c r="E87">
        <v>0</v>
      </c>
      <c r="F87" t="s">
        <v>21</v>
      </c>
      <c r="G87" t="s">
        <v>28</v>
      </c>
      <c r="H87" t="s">
        <v>17</v>
      </c>
      <c r="I87">
        <v>1</v>
      </c>
      <c r="J87" t="s">
        <v>29</v>
      </c>
      <c r="K87" t="s">
        <v>27</v>
      </c>
      <c r="L87">
        <v>26</v>
      </c>
      <c r="M87" t="str">
        <f t="shared" si="1"/>
        <v>Adolescent</v>
      </c>
      <c r="N87" t="s">
        <v>17</v>
      </c>
    </row>
    <row r="88" spans="1:14" x14ac:dyDescent="0.3">
      <c r="A88">
        <v>17191</v>
      </c>
      <c r="B88" t="s">
        <v>40</v>
      </c>
      <c r="C88" t="s">
        <v>39</v>
      </c>
      <c r="D88" s="3">
        <v>130000</v>
      </c>
      <c r="E88">
        <v>3</v>
      </c>
      <c r="F88" t="s">
        <v>21</v>
      </c>
      <c r="G88" t="s">
        <v>23</v>
      </c>
      <c r="H88" t="s">
        <v>20</v>
      </c>
      <c r="I88">
        <v>3</v>
      </c>
      <c r="J88" t="s">
        <v>18</v>
      </c>
      <c r="K88" t="s">
        <v>19</v>
      </c>
      <c r="L88">
        <v>51</v>
      </c>
      <c r="M88" t="str">
        <f t="shared" si="1"/>
        <v>Middle Age</v>
      </c>
      <c r="N88" t="s">
        <v>17</v>
      </c>
    </row>
    <row r="89" spans="1:14" x14ac:dyDescent="0.3">
      <c r="A89">
        <v>19608</v>
      </c>
      <c r="B89" t="s">
        <v>37</v>
      </c>
      <c r="C89" t="s">
        <v>39</v>
      </c>
      <c r="D89" s="3">
        <v>80000</v>
      </c>
      <c r="E89">
        <v>5</v>
      </c>
      <c r="F89" t="s">
        <v>15</v>
      </c>
      <c r="G89" t="s">
        <v>23</v>
      </c>
      <c r="H89" t="s">
        <v>17</v>
      </c>
      <c r="I89">
        <v>4</v>
      </c>
      <c r="J89" t="s">
        <v>29</v>
      </c>
      <c r="K89" t="s">
        <v>27</v>
      </c>
      <c r="L89">
        <v>40</v>
      </c>
      <c r="M89" t="str">
        <f t="shared" si="1"/>
        <v>Middle Age</v>
      </c>
      <c r="N89" t="s">
        <v>20</v>
      </c>
    </row>
    <row r="90" spans="1:14" x14ac:dyDescent="0.3">
      <c r="A90">
        <v>24119</v>
      </c>
      <c r="B90" t="s">
        <v>40</v>
      </c>
      <c r="C90" t="s">
        <v>39</v>
      </c>
      <c r="D90" s="3">
        <v>30000</v>
      </c>
      <c r="E90">
        <v>0</v>
      </c>
      <c r="F90" t="s">
        <v>21</v>
      </c>
      <c r="G90" t="s">
        <v>22</v>
      </c>
      <c r="H90" t="s">
        <v>20</v>
      </c>
      <c r="I90">
        <v>1</v>
      </c>
      <c r="J90" t="s">
        <v>24</v>
      </c>
      <c r="K90" t="s">
        <v>19</v>
      </c>
      <c r="L90">
        <v>29</v>
      </c>
      <c r="M90" t="str">
        <f t="shared" si="1"/>
        <v>Adolescent</v>
      </c>
      <c r="N90" t="s">
        <v>20</v>
      </c>
    </row>
    <row r="91" spans="1:14" x14ac:dyDescent="0.3">
      <c r="A91">
        <v>25458</v>
      </c>
      <c r="B91" t="s">
        <v>37</v>
      </c>
      <c r="C91" t="s">
        <v>39</v>
      </c>
      <c r="D91" s="3">
        <v>20000</v>
      </c>
      <c r="E91">
        <v>1</v>
      </c>
      <c r="F91" t="s">
        <v>30</v>
      </c>
      <c r="G91" t="s">
        <v>28</v>
      </c>
      <c r="H91" t="s">
        <v>20</v>
      </c>
      <c r="I91">
        <v>1</v>
      </c>
      <c r="J91" t="s">
        <v>29</v>
      </c>
      <c r="K91" t="s">
        <v>19</v>
      </c>
      <c r="L91">
        <v>40</v>
      </c>
      <c r="M91" t="str">
        <f t="shared" si="1"/>
        <v>Middle Age</v>
      </c>
      <c r="N91" t="s">
        <v>17</v>
      </c>
    </row>
    <row r="92" spans="1:14" x14ac:dyDescent="0.3">
      <c r="A92">
        <v>26886</v>
      </c>
      <c r="B92" t="s">
        <v>40</v>
      </c>
      <c r="C92" t="s">
        <v>38</v>
      </c>
      <c r="D92" s="3">
        <v>30000</v>
      </c>
      <c r="E92">
        <v>0</v>
      </c>
      <c r="F92" t="s">
        <v>21</v>
      </c>
      <c r="G92" t="s">
        <v>22</v>
      </c>
      <c r="H92" t="s">
        <v>20</v>
      </c>
      <c r="I92">
        <v>1</v>
      </c>
      <c r="J92" t="s">
        <v>18</v>
      </c>
      <c r="K92" t="s">
        <v>19</v>
      </c>
      <c r="L92">
        <v>29</v>
      </c>
      <c r="M92" t="str">
        <f t="shared" si="1"/>
        <v>Adolescent</v>
      </c>
      <c r="N92" t="s">
        <v>17</v>
      </c>
    </row>
    <row r="93" spans="1:14" x14ac:dyDescent="0.3">
      <c r="A93">
        <v>28436</v>
      </c>
      <c r="B93" t="s">
        <v>40</v>
      </c>
      <c r="C93" t="s">
        <v>39</v>
      </c>
      <c r="D93" s="3">
        <v>30000</v>
      </c>
      <c r="E93">
        <v>0</v>
      </c>
      <c r="F93" t="s">
        <v>21</v>
      </c>
      <c r="G93" t="s">
        <v>22</v>
      </c>
      <c r="H93" t="s">
        <v>20</v>
      </c>
      <c r="I93">
        <v>1</v>
      </c>
      <c r="J93" t="s">
        <v>18</v>
      </c>
      <c r="K93" t="s">
        <v>19</v>
      </c>
      <c r="L93">
        <v>30</v>
      </c>
      <c r="M93" t="str">
        <f t="shared" si="1"/>
        <v>Adolescent</v>
      </c>
      <c r="N93" t="s">
        <v>17</v>
      </c>
    </row>
    <row r="94" spans="1:14" x14ac:dyDescent="0.3">
      <c r="A94">
        <v>19562</v>
      </c>
      <c r="B94" t="s">
        <v>40</v>
      </c>
      <c r="C94" t="s">
        <v>38</v>
      </c>
      <c r="D94" s="3">
        <v>60000</v>
      </c>
      <c r="E94">
        <v>2</v>
      </c>
      <c r="F94" t="s">
        <v>15</v>
      </c>
      <c r="G94" t="s">
        <v>23</v>
      </c>
      <c r="H94" t="s">
        <v>17</v>
      </c>
      <c r="I94">
        <v>1</v>
      </c>
      <c r="J94" t="s">
        <v>24</v>
      </c>
      <c r="K94" t="s">
        <v>27</v>
      </c>
      <c r="L94">
        <v>37</v>
      </c>
      <c r="M94" t="str">
        <f t="shared" si="1"/>
        <v>Middle Age</v>
      </c>
      <c r="N94" t="s">
        <v>17</v>
      </c>
    </row>
    <row r="95" spans="1:14" x14ac:dyDescent="0.3">
      <c r="A95">
        <v>15608</v>
      </c>
      <c r="B95" t="s">
        <v>40</v>
      </c>
      <c r="C95" t="s">
        <v>38</v>
      </c>
      <c r="D95" s="3">
        <v>30000</v>
      </c>
      <c r="E95">
        <v>0</v>
      </c>
      <c r="F95" t="s">
        <v>21</v>
      </c>
      <c r="G95" t="s">
        <v>22</v>
      </c>
      <c r="H95" t="s">
        <v>20</v>
      </c>
      <c r="I95">
        <v>1</v>
      </c>
      <c r="J95" t="s">
        <v>24</v>
      </c>
      <c r="K95" t="s">
        <v>19</v>
      </c>
      <c r="L95">
        <v>33</v>
      </c>
      <c r="M95" t="str">
        <f t="shared" si="1"/>
        <v>Middle Age</v>
      </c>
      <c r="N95" t="s">
        <v>20</v>
      </c>
    </row>
    <row r="96" spans="1:14" x14ac:dyDescent="0.3">
      <c r="A96">
        <v>16487</v>
      </c>
      <c r="B96" t="s">
        <v>40</v>
      </c>
      <c r="C96" t="s">
        <v>38</v>
      </c>
      <c r="D96" s="3">
        <v>30000</v>
      </c>
      <c r="E96">
        <v>3</v>
      </c>
      <c r="F96" t="s">
        <v>30</v>
      </c>
      <c r="G96" t="s">
        <v>16</v>
      </c>
      <c r="H96" t="s">
        <v>17</v>
      </c>
      <c r="I96">
        <v>2</v>
      </c>
      <c r="J96" t="s">
        <v>26</v>
      </c>
      <c r="K96" t="s">
        <v>27</v>
      </c>
      <c r="L96">
        <v>55</v>
      </c>
      <c r="M96" t="str">
        <f t="shared" si="1"/>
        <v>Old</v>
      </c>
      <c r="N96" t="s">
        <v>20</v>
      </c>
    </row>
    <row r="97" spans="1:14" x14ac:dyDescent="0.3">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3">
      <c r="A98">
        <v>12507</v>
      </c>
      <c r="B98" t="s">
        <v>37</v>
      </c>
      <c r="C98" t="s">
        <v>39</v>
      </c>
      <c r="D98" s="3">
        <v>30000</v>
      </c>
      <c r="E98">
        <v>1</v>
      </c>
      <c r="F98" t="s">
        <v>21</v>
      </c>
      <c r="G98" t="s">
        <v>22</v>
      </c>
      <c r="H98" t="s">
        <v>17</v>
      </c>
      <c r="I98">
        <v>1</v>
      </c>
      <c r="J98" t="s">
        <v>18</v>
      </c>
      <c r="K98" t="s">
        <v>19</v>
      </c>
      <c r="L98">
        <v>43</v>
      </c>
      <c r="M98" t="str">
        <f t="shared" si="1"/>
        <v>Middle Age</v>
      </c>
      <c r="N98" t="s">
        <v>20</v>
      </c>
    </row>
    <row r="99" spans="1:14" x14ac:dyDescent="0.3">
      <c r="A99">
        <v>23940</v>
      </c>
      <c r="B99" t="s">
        <v>37</v>
      </c>
      <c r="C99" t="s">
        <v>39</v>
      </c>
      <c r="D99" s="3">
        <v>40000</v>
      </c>
      <c r="E99">
        <v>1</v>
      </c>
      <c r="F99" t="s">
        <v>15</v>
      </c>
      <c r="G99" t="s">
        <v>16</v>
      </c>
      <c r="H99" t="s">
        <v>17</v>
      </c>
      <c r="I99">
        <v>1</v>
      </c>
      <c r="J99" t="s">
        <v>18</v>
      </c>
      <c r="K99" t="s">
        <v>19</v>
      </c>
      <c r="L99">
        <v>44</v>
      </c>
      <c r="M99" t="str">
        <f t="shared" si="1"/>
        <v>Middle Age</v>
      </c>
      <c r="N99" t="s">
        <v>17</v>
      </c>
    </row>
    <row r="100" spans="1:14" x14ac:dyDescent="0.3">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x14ac:dyDescent="0.3">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x14ac:dyDescent="0.3">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x14ac:dyDescent="0.3">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x14ac:dyDescent="0.3">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x14ac:dyDescent="0.3">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x14ac:dyDescent="0.3">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x14ac:dyDescent="0.3">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x14ac:dyDescent="0.3">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x14ac:dyDescent="0.3">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x14ac:dyDescent="0.3">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x14ac:dyDescent="0.3">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x14ac:dyDescent="0.3">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x14ac:dyDescent="0.3">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x14ac:dyDescent="0.3">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x14ac:dyDescent="0.3">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x14ac:dyDescent="0.3">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x14ac:dyDescent="0.3">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x14ac:dyDescent="0.3">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x14ac:dyDescent="0.3">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x14ac:dyDescent="0.3">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3">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x14ac:dyDescent="0.3">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3">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x14ac:dyDescent="0.3">
      <c r="A124">
        <v>12344</v>
      </c>
      <c r="B124" t="s">
        <v>40</v>
      </c>
      <c r="C124" t="s">
        <v>38</v>
      </c>
      <c r="D124" s="3">
        <v>80000</v>
      </c>
      <c r="E124">
        <v>0</v>
      </c>
      <c r="F124" t="s">
        <v>15</v>
      </c>
      <c r="G124" t="s">
        <v>23</v>
      </c>
      <c r="H124" t="s">
        <v>20</v>
      </c>
      <c r="I124">
        <v>3</v>
      </c>
      <c r="J124" t="s">
        <v>41</v>
      </c>
      <c r="K124" t="s">
        <v>27</v>
      </c>
      <c r="L124">
        <v>31</v>
      </c>
      <c r="M124" t="str">
        <f>IF(L124&gt;54, "Old", IF(L124&gt;30,"Middle Age",IF(L124&lt;31,"Adolescent","Invalid")))</f>
        <v>Middle Age</v>
      </c>
      <c r="N124" t="s">
        <v>20</v>
      </c>
    </row>
    <row r="125" spans="1:14" x14ac:dyDescent="0.3">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x14ac:dyDescent="0.3">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x14ac:dyDescent="0.3">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x14ac:dyDescent="0.3">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x14ac:dyDescent="0.3">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x14ac:dyDescent="0.3">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x14ac:dyDescent="0.3">
      <c r="A131">
        <v>26818</v>
      </c>
      <c r="B131" t="s">
        <v>40</v>
      </c>
      <c r="C131" t="s">
        <v>39</v>
      </c>
      <c r="D131" s="3">
        <v>10000</v>
      </c>
      <c r="E131">
        <v>3</v>
      </c>
      <c r="F131" t="s">
        <v>30</v>
      </c>
      <c r="G131" t="s">
        <v>28</v>
      </c>
      <c r="H131" t="s">
        <v>17</v>
      </c>
      <c r="I131">
        <v>1</v>
      </c>
      <c r="J131" t="s">
        <v>18</v>
      </c>
      <c r="K131" t="s">
        <v>19</v>
      </c>
      <c r="L131">
        <v>39</v>
      </c>
      <c r="M131" t="str">
        <f t="shared" ref="M131:M194" si="2">IF(L131&gt;54, "Old", IF(L131&gt;31,"Middle Age",IF(L131&lt;31,"Adolescent","Invalid")))</f>
        <v>Middle Age</v>
      </c>
      <c r="N131" t="s">
        <v>17</v>
      </c>
    </row>
    <row r="132" spans="1:14" x14ac:dyDescent="0.3">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x14ac:dyDescent="0.3">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x14ac:dyDescent="0.3">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x14ac:dyDescent="0.3">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3">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x14ac:dyDescent="0.3">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x14ac:dyDescent="0.3">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x14ac:dyDescent="0.3">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x14ac:dyDescent="0.3">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x14ac:dyDescent="0.3">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x14ac:dyDescent="0.3">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x14ac:dyDescent="0.3">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x14ac:dyDescent="0.3">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x14ac:dyDescent="0.3">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x14ac:dyDescent="0.3">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x14ac:dyDescent="0.3">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x14ac:dyDescent="0.3">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x14ac:dyDescent="0.3">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x14ac:dyDescent="0.3">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x14ac:dyDescent="0.3">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x14ac:dyDescent="0.3">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x14ac:dyDescent="0.3">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x14ac:dyDescent="0.3">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x14ac:dyDescent="0.3">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x14ac:dyDescent="0.3">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x14ac:dyDescent="0.3">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x14ac:dyDescent="0.3">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x14ac:dyDescent="0.3">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x14ac:dyDescent="0.3">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x14ac:dyDescent="0.3">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x14ac:dyDescent="0.3">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x14ac:dyDescent="0.3">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x14ac:dyDescent="0.3">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x14ac:dyDescent="0.3">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x14ac:dyDescent="0.3">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x14ac:dyDescent="0.3">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x14ac:dyDescent="0.3">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x14ac:dyDescent="0.3">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x14ac:dyDescent="0.3">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x14ac:dyDescent="0.3">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x14ac:dyDescent="0.3">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3">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3">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x14ac:dyDescent="0.3">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x14ac:dyDescent="0.3">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x14ac:dyDescent="0.3">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x14ac:dyDescent="0.3">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x14ac:dyDescent="0.3">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x14ac:dyDescent="0.3">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x14ac:dyDescent="0.3">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x14ac:dyDescent="0.3">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x14ac:dyDescent="0.3">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x14ac:dyDescent="0.3">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x14ac:dyDescent="0.3">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3">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x14ac:dyDescent="0.3">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x14ac:dyDescent="0.3">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x14ac:dyDescent="0.3">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x14ac:dyDescent="0.3">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x14ac:dyDescent="0.3">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x14ac:dyDescent="0.3">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x14ac:dyDescent="0.3">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x14ac:dyDescent="0.3">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3">
      <c r="A195">
        <v>26032</v>
      </c>
      <c r="B195" t="s">
        <v>37</v>
      </c>
      <c r="C195" t="s">
        <v>38</v>
      </c>
      <c r="D195" s="3">
        <v>70000</v>
      </c>
      <c r="E195">
        <v>5</v>
      </c>
      <c r="F195" t="s">
        <v>15</v>
      </c>
      <c r="G195" t="s">
        <v>23</v>
      </c>
      <c r="H195" t="s">
        <v>17</v>
      </c>
      <c r="I195">
        <v>4</v>
      </c>
      <c r="J195" t="s">
        <v>41</v>
      </c>
      <c r="K195" t="s">
        <v>27</v>
      </c>
      <c r="L195">
        <v>41</v>
      </c>
      <c r="M195" t="str">
        <f t="shared" ref="M195:M258" si="3">IF(L195&gt;54, "Old", IF(L195&gt;31,"Middle Age",IF(L195&lt;31,"Adolescent","Invalid")))</f>
        <v>Middle Age</v>
      </c>
      <c r="N195" t="s">
        <v>20</v>
      </c>
    </row>
    <row r="196" spans="1:14" x14ac:dyDescent="0.3">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x14ac:dyDescent="0.3">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x14ac:dyDescent="0.3">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x14ac:dyDescent="0.3">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3">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x14ac:dyDescent="0.3">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x14ac:dyDescent="0.3">
      <c r="A202">
        <v>24584</v>
      </c>
      <c r="B202" t="s">
        <v>40</v>
      </c>
      <c r="C202" t="s">
        <v>39</v>
      </c>
      <c r="D202" s="3">
        <v>60000</v>
      </c>
      <c r="E202">
        <v>0</v>
      </c>
      <c r="F202" t="s">
        <v>15</v>
      </c>
      <c r="G202" t="s">
        <v>23</v>
      </c>
      <c r="H202" t="s">
        <v>20</v>
      </c>
      <c r="I202">
        <v>3</v>
      </c>
      <c r="J202" t="s">
        <v>24</v>
      </c>
      <c r="K202" t="s">
        <v>27</v>
      </c>
      <c r="L202">
        <v>31</v>
      </c>
      <c r="M202" t="str">
        <f>IF(L202&gt;54, "Old", IF(L202&gt;30,"Middle Age",IF(L202&lt;31,"Adolescent","Invalid")))</f>
        <v>Middle Age</v>
      </c>
      <c r="N202" t="s">
        <v>20</v>
      </c>
    </row>
    <row r="203" spans="1:14" x14ac:dyDescent="0.3">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x14ac:dyDescent="0.3">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x14ac:dyDescent="0.3">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x14ac:dyDescent="0.3">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x14ac:dyDescent="0.3">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x14ac:dyDescent="0.3">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3">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x14ac:dyDescent="0.3">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x14ac:dyDescent="0.3">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x14ac:dyDescent="0.3">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x14ac:dyDescent="0.3">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x14ac:dyDescent="0.3">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x14ac:dyDescent="0.3">
      <c r="A215">
        <v>11451</v>
      </c>
      <c r="B215" t="s">
        <v>40</v>
      </c>
      <c r="C215" t="s">
        <v>39</v>
      </c>
      <c r="D215" s="3">
        <v>70000</v>
      </c>
      <c r="E215">
        <v>0</v>
      </c>
      <c r="F215" t="s">
        <v>15</v>
      </c>
      <c r="G215" t="s">
        <v>23</v>
      </c>
      <c r="H215" t="s">
        <v>20</v>
      </c>
      <c r="I215">
        <v>4</v>
      </c>
      <c r="J215" t="s">
        <v>41</v>
      </c>
      <c r="K215" t="s">
        <v>27</v>
      </c>
      <c r="L215">
        <v>31</v>
      </c>
      <c r="M215" t="str">
        <f>IF(L215&gt;54, "Old", IF(L215&gt;30,"Middle Age",IF(L215&lt;31,"Adolescent","Invalid")))</f>
        <v>Middle Age</v>
      </c>
      <c r="N215" t="s">
        <v>17</v>
      </c>
    </row>
    <row r="216" spans="1:14" x14ac:dyDescent="0.3">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3">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x14ac:dyDescent="0.3">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x14ac:dyDescent="0.3">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x14ac:dyDescent="0.3">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x14ac:dyDescent="0.3">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x14ac:dyDescent="0.3">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x14ac:dyDescent="0.3">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x14ac:dyDescent="0.3">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x14ac:dyDescent="0.3">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x14ac:dyDescent="0.3">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3">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x14ac:dyDescent="0.3">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x14ac:dyDescent="0.3">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x14ac:dyDescent="0.3">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x14ac:dyDescent="0.3">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x14ac:dyDescent="0.3">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x14ac:dyDescent="0.3">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x14ac:dyDescent="0.3">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x14ac:dyDescent="0.3">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x14ac:dyDescent="0.3">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x14ac:dyDescent="0.3">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3">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x14ac:dyDescent="0.3">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x14ac:dyDescent="0.3">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x14ac:dyDescent="0.3">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x14ac:dyDescent="0.3">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x14ac:dyDescent="0.3">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x14ac:dyDescent="0.3">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x14ac:dyDescent="0.3">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x14ac:dyDescent="0.3">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x14ac:dyDescent="0.3">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x14ac:dyDescent="0.3">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x14ac:dyDescent="0.3">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x14ac:dyDescent="0.3">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3">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x14ac:dyDescent="0.3">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3">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x14ac:dyDescent="0.3">
      <c r="A254">
        <v>12666</v>
      </c>
      <c r="B254" t="s">
        <v>40</v>
      </c>
      <c r="C254" t="s">
        <v>39</v>
      </c>
      <c r="D254" s="3">
        <v>60000</v>
      </c>
      <c r="E254">
        <v>0</v>
      </c>
      <c r="F254" t="s">
        <v>15</v>
      </c>
      <c r="G254" t="s">
        <v>23</v>
      </c>
      <c r="H254" t="s">
        <v>20</v>
      </c>
      <c r="I254">
        <v>4</v>
      </c>
      <c r="J254" t="s">
        <v>24</v>
      </c>
      <c r="K254" t="s">
        <v>27</v>
      </c>
      <c r="L254">
        <v>31</v>
      </c>
      <c r="M254" t="str">
        <f>IF(L254&gt;54, "Old", IF(L254&gt;30,"Middle Age",IF(L254&lt;31,"Adolescent","Invalid")))</f>
        <v>Middle Age</v>
      </c>
      <c r="N254" t="s">
        <v>20</v>
      </c>
    </row>
    <row r="255" spans="1:14" x14ac:dyDescent="0.3">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x14ac:dyDescent="0.3">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x14ac:dyDescent="0.3">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x14ac:dyDescent="0.3">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x14ac:dyDescent="0.3">
      <c r="A259">
        <v>14164</v>
      </c>
      <c r="B259" t="s">
        <v>40</v>
      </c>
      <c r="C259" t="s">
        <v>38</v>
      </c>
      <c r="D259" s="3">
        <v>50000</v>
      </c>
      <c r="E259">
        <v>0</v>
      </c>
      <c r="F259" t="s">
        <v>34</v>
      </c>
      <c r="G259" t="s">
        <v>16</v>
      </c>
      <c r="H259" t="s">
        <v>17</v>
      </c>
      <c r="I259">
        <v>0</v>
      </c>
      <c r="J259" t="s">
        <v>18</v>
      </c>
      <c r="K259" t="s">
        <v>19</v>
      </c>
      <c r="L259">
        <v>36</v>
      </c>
      <c r="M259" t="str">
        <f t="shared" ref="M259:M322" si="4">IF(L259&gt;54, "Old", IF(L259&gt;31,"Middle Age",IF(L259&lt;31,"Adolescent","Invalid")))</f>
        <v>Middle Age</v>
      </c>
      <c r="N259" t="s">
        <v>17</v>
      </c>
    </row>
    <row r="260" spans="1:14" x14ac:dyDescent="0.3">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x14ac:dyDescent="0.3">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x14ac:dyDescent="0.3">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x14ac:dyDescent="0.3">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x14ac:dyDescent="0.3">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x14ac:dyDescent="0.3">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x14ac:dyDescent="0.3">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x14ac:dyDescent="0.3">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x14ac:dyDescent="0.3">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x14ac:dyDescent="0.3">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x14ac:dyDescent="0.3">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x14ac:dyDescent="0.3">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x14ac:dyDescent="0.3">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x14ac:dyDescent="0.3">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x14ac:dyDescent="0.3">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x14ac:dyDescent="0.3">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x14ac:dyDescent="0.3">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x14ac:dyDescent="0.3">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x14ac:dyDescent="0.3">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x14ac:dyDescent="0.3">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x14ac:dyDescent="0.3">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x14ac:dyDescent="0.3">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x14ac:dyDescent="0.3">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x14ac:dyDescent="0.3">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x14ac:dyDescent="0.3">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x14ac:dyDescent="0.3">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x14ac:dyDescent="0.3">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x14ac:dyDescent="0.3">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x14ac:dyDescent="0.3">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x14ac:dyDescent="0.3">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x14ac:dyDescent="0.3">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x14ac:dyDescent="0.3">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x14ac:dyDescent="0.3">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x14ac:dyDescent="0.3">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x14ac:dyDescent="0.3">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x14ac:dyDescent="0.3">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x14ac:dyDescent="0.3">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x14ac:dyDescent="0.3">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x14ac:dyDescent="0.3">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x14ac:dyDescent="0.3">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x14ac:dyDescent="0.3">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x14ac:dyDescent="0.3">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3">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3">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x14ac:dyDescent="0.3">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3">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x14ac:dyDescent="0.3">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x14ac:dyDescent="0.3">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x14ac:dyDescent="0.3">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x14ac:dyDescent="0.3">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3">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x14ac:dyDescent="0.3">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x14ac:dyDescent="0.3">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x14ac:dyDescent="0.3">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x14ac:dyDescent="0.3">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x14ac:dyDescent="0.3">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x14ac:dyDescent="0.3">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x14ac:dyDescent="0.3">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x14ac:dyDescent="0.3">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3">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x14ac:dyDescent="0.3">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x14ac:dyDescent="0.3">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x14ac:dyDescent="0.3">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x14ac:dyDescent="0.3">
      <c r="A323">
        <v>16675</v>
      </c>
      <c r="B323" t="s">
        <v>40</v>
      </c>
      <c r="C323" t="s">
        <v>38</v>
      </c>
      <c r="D323" s="3">
        <v>160000</v>
      </c>
      <c r="E323">
        <v>0</v>
      </c>
      <c r="F323" t="s">
        <v>34</v>
      </c>
      <c r="G323" t="s">
        <v>31</v>
      </c>
      <c r="H323" t="s">
        <v>20</v>
      </c>
      <c r="I323">
        <v>3</v>
      </c>
      <c r="J323" t="s">
        <v>18</v>
      </c>
      <c r="K323" t="s">
        <v>27</v>
      </c>
      <c r="L323">
        <v>47</v>
      </c>
      <c r="M323" t="str">
        <f t="shared" ref="M323:M386" si="5">IF(L323&gt;54, "Old", IF(L323&gt;31,"Middle Age",IF(L323&lt;31,"Adolescent","Invalid")))</f>
        <v>Middle Age</v>
      </c>
      <c r="N323" t="s">
        <v>17</v>
      </c>
    </row>
    <row r="324" spans="1:14" x14ac:dyDescent="0.3">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x14ac:dyDescent="0.3">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x14ac:dyDescent="0.3">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x14ac:dyDescent="0.3">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x14ac:dyDescent="0.3">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x14ac:dyDescent="0.3">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x14ac:dyDescent="0.3">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x14ac:dyDescent="0.3">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x14ac:dyDescent="0.3">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x14ac:dyDescent="0.3">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x14ac:dyDescent="0.3">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x14ac:dyDescent="0.3">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x14ac:dyDescent="0.3">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x14ac:dyDescent="0.3">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x14ac:dyDescent="0.3">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x14ac:dyDescent="0.3">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x14ac:dyDescent="0.3">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x14ac:dyDescent="0.3">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3">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x14ac:dyDescent="0.3">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x14ac:dyDescent="0.3">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x14ac:dyDescent="0.3">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x14ac:dyDescent="0.3">
      <c r="A346">
        <v>17848</v>
      </c>
      <c r="B346" t="s">
        <v>40</v>
      </c>
      <c r="C346" t="s">
        <v>39</v>
      </c>
      <c r="D346" s="3">
        <v>30000</v>
      </c>
      <c r="E346">
        <v>0</v>
      </c>
      <c r="F346" t="s">
        <v>21</v>
      </c>
      <c r="G346" t="s">
        <v>22</v>
      </c>
      <c r="H346" t="s">
        <v>20</v>
      </c>
      <c r="I346">
        <v>1</v>
      </c>
      <c r="J346" t="s">
        <v>24</v>
      </c>
      <c r="K346" t="s">
        <v>19</v>
      </c>
      <c r="L346">
        <v>31</v>
      </c>
      <c r="M346" t="str">
        <f>IF(L346&gt;54, "Old", IF(L346&gt;30,"Middle Age",IF(L346&lt;31,"Adolescent","Invalid")))</f>
        <v>Middle Age</v>
      </c>
      <c r="N346" t="s">
        <v>17</v>
      </c>
    </row>
    <row r="347" spans="1:14" x14ac:dyDescent="0.3">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x14ac:dyDescent="0.3">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x14ac:dyDescent="0.3">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x14ac:dyDescent="0.3">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x14ac:dyDescent="0.3">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x14ac:dyDescent="0.3">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x14ac:dyDescent="0.3">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x14ac:dyDescent="0.3">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x14ac:dyDescent="0.3">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x14ac:dyDescent="0.3">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x14ac:dyDescent="0.3">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x14ac:dyDescent="0.3">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x14ac:dyDescent="0.3">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x14ac:dyDescent="0.3">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x14ac:dyDescent="0.3">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x14ac:dyDescent="0.3">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x14ac:dyDescent="0.3">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x14ac:dyDescent="0.3">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x14ac:dyDescent="0.3">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3">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x14ac:dyDescent="0.3">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x14ac:dyDescent="0.3">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x14ac:dyDescent="0.3">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x14ac:dyDescent="0.3">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x14ac:dyDescent="0.3">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x14ac:dyDescent="0.3">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x14ac:dyDescent="0.3">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x14ac:dyDescent="0.3">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x14ac:dyDescent="0.3">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x14ac:dyDescent="0.3">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x14ac:dyDescent="0.3">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3">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3">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x14ac:dyDescent="0.3">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x14ac:dyDescent="0.3">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x14ac:dyDescent="0.3">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x14ac:dyDescent="0.3">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3">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x14ac:dyDescent="0.3">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x14ac:dyDescent="0.3">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x14ac:dyDescent="0.3">
      <c r="A387">
        <v>18018</v>
      </c>
      <c r="B387" t="s">
        <v>40</v>
      </c>
      <c r="C387" t="s">
        <v>39</v>
      </c>
      <c r="D387" s="3">
        <v>30000</v>
      </c>
      <c r="E387">
        <v>3</v>
      </c>
      <c r="F387" t="s">
        <v>21</v>
      </c>
      <c r="G387" t="s">
        <v>22</v>
      </c>
      <c r="H387" t="s">
        <v>17</v>
      </c>
      <c r="I387">
        <v>0</v>
      </c>
      <c r="J387" t="s">
        <v>18</v>
      </c>
      <c r="K387" t="s">
        <v>19</v>
      </c>
      <c r="L387">
        <v>43</v>
      </c>
      <c r="M387" t="str">
        <f t="shared" ref="M387:M450" si="6">IF(L387&gt;54, "Old", IF(L387&gt;31,"Middle Age",IF(L387&lt;31,"Adolescent","Invalid")))</f>
        <v>Middle Age</v>
      </c>
      <c r="N387" t="s">
        <v>20</v>
      </c>
    </row>
    <row r="388" spans="1:14" x14ac:dyDescent="0.3">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x14ac:dyDescent="0.3">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x14ac:dyDescent="0.3">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3">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x14ac:dyDescent="0.3">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x14ac:dyDescent="0.3">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x14ac:dyDescent="0.3">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x14ac:dyDescent="0.3">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x14ac:dyDescent="0.3">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x14ac:dyDescent="0.3">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x14ac:dyDescent="0.3">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x14ac:dyDescent="0.3">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x14ac:dyDescent="0.3">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x14ac:dyDescent="0.3">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x14ac:dyDescent="0.3">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x14ac:dyDescent="0.3">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3">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x14ac:dyDescent="0.3">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x14ac:dyDescent="0.3">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x14ac:dyDescent="0.3">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x14ac:dyDescent="0.3">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x14ac:dyDescent="0.3">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x14ac:dyDescent="0.3">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x14ac:dyDescent="0.3">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x14ac:dyDescent="0.3">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x14ac:dyDescent="0.3">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x14ac:dyDescent="0.3">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x14ac:dyDescent="0.3">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3">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x14ac:dyDescent="0.3">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x14ac:dyDescent="0.3">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x14ac:dyDescent="0.3">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3">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x14ac:dyDescent="0.3">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x14ac:dyDescent="0.3">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x14ac:dyDescent="0.3">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x14ac:dyDescent="0.3">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x14ac:dyDescent="0.3">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x14ac:dyDescent="0.3">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x14ac:dyDescent="0.3">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3">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x14ac:dyDescent="0.3">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x14ac:dyDescent="0.3">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x14ac:dyDescent="0.3">
      <c r="A431">
        <v>12718</v>
      </c>
      <c r="B431" t="s">
        <v>40</v>
      </c>
      <c r="C431" t="s">
        <v>38</v>
      </c>
      <c r="D431" s="3">
        <v>30000</v>
      </c>
      <c r="E431">
        <v>0</v>
      </c>
      <c r="F431" t="s">
        <v>21</v>
      </c>
      <c r="G431" t="s">
        <v>22</v>
      </c>
      <c r="H431" t="s">
        <v>17</v>
      </c>
      <c r="I431">
        <v>1</v>
      </c>
      <c r="J431" t="s">
        <v>24</v>
      </c>
      <c r="K431" t="s">
        <v>19</v>
      </c>
      <c r="L431">
        <v>31</v>
      </c>
      <c r="M431" t="str">
        <f>IF(L431&gt;54, "Old", IF(L431&gt;30,"Middle Age",IF(L431&lt;31,"Adolescent","Invalid")))</f>
        <v>Middle Age</v>
      </c>
      <c r="N431" t="s">
        <v>20</v>
      </c>
    </row>
    <row r="432" spans="1:14" x14ac:dyDescent="0.3">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x14ac:dyDescent="0.3">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x14ac:dyDescent="0.3">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x14ac:dyDescent="0.3">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x14ac:dyDescent="0.3">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x14ac:dyDescent="0.3">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3">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x14ac:dyDescent="0.3">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x14ac:dyDescent="0.3">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x14ac:dyDescent="0.3">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x14ac:dyDescent="0.3">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x14ac:dyDescent="0.3">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x14ac:dyDescent="0.3">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x14ac:dyDescent="0.3">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x14ac:dyDescent="0.3">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x14ac:dyDescent="0.3">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x14ac:dyDescent="0.3">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x14ac:dyDescent="0.3">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x14ac:dyDescent="0.3">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x14ac:dyDescent="0.3">
      <c r="A451">
        <v>12497</v>
      </c>
      <c r="B451" t="s">
        <v>37</v>
      </c>
      <c r="C451" t="s">
        <v>38</v>
      </c>
      <c r="D451" s="3">
        <v>40000</v>
      </c>
      <c r="E451">
        <v>1</v>
      </c>
      <c r="F451" t="s">
        <v>15</v>
      </c>
      <c r="G451" t="s">
        <v>16</v>
      </c>
      <c r="H451" t="s">
        <v>17</v>
      </c>
      <c r="I451">
        <v>0</v>
      </c>
      <c r="J451" t="s">
        <v>18</v>
      </c>
      <c r="K451" t="s">
        <v>19</v>
      </c>
      <c r="L451">
        <v>42</v>
      </c>
      <c r="M451" t="str">
        <f t="shared" ref="M451:M514" si="7">IF(L451&gt;54, "Old", IF(L451&gt;31,"Middle Age",IF(L451&lt;31,"Adolescent","Invalid")))</f>
        <v>Middle Age</v>
      </c>
      <c r="N451" t="s">
        <v>20</v>
      </c>
    </row>
    <row r="452" spans="1:14" x14ac:dyDescent="0.3">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x14ac:dyDescent="0.3">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x14ac:dyDescent="0.3">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3">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x14ac:dyDescent="0.3">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x14ac:dyDescent="0.3">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x14ac:dyDescent="0.3">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x14ac:dyDescent="0.3">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3">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x14ac:dyDescent="0.3">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x14ac:dyDescent="0.3">
      <c r="A462">
        <v>13662</v>
      </c>
      <c r="B462" t="s">
        <v>40</v>
      </c>
      <c r="C462" t="s">
        <v>39</v>
      </c>
      <c r="D462" s="3">
        <v>20000</v>
      </c>
      <c r="E462">
        <v>0</v>
      </c>
      <c r="F462" t="s">
        <v>32</v>
      </c>
      <c r="G462" t="s">
        <v>28</v>
      </c>
      <c r="H462" t="s">
        <v>17</v>
      </c>
      <c r="I462">
        <v>2</v>
      </c>
      <c r="J462" t="s">
        <v>29</v>
      </c>
      <c r="K462" t="s">
        <v>19</v>
      </c>
      <c r="L462">
        <v>31</v>
      </c>
      <c r="M462" t="str">
        <f>IF(L462&gt;54, "Old", IF(L462&gt;30,"Middle Age",IF(L462&lt;31,"Adolescent","Invalid")))</f>
        <v>Middle Age</v>
      </c>
      <c r="N462" t="s">
        <v>17</v>
      </c>
    </row>
    <row r="463" spans="1:14" x14ac:dyDescent="0.3">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x14ac:dyDescent="0.3">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x14ac:dyDescent="0.3">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x14ac:dyDescent="0.3">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x14ac:dyDescent="0.3">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3">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x14ac:dyDescent="0.3">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x14ac:dyDescent="0.3">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x14ac:dyDescent="0.3">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3">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x14ac:dyDescent="0.3">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x14ac:dyDescent="0.3">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x14ac:dyDescent="0.3">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x14ac:dyDescent="0.3">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x14ac:dyDescent="0.3">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x14ac:dyDescent="0.3">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x14ac:dyDescent="0.3">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x14ac:dyDescent="0.3">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x14ac:dyDescent="0.3">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x14ac:dyDescent="0.3">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x14ac:dyDescent="0.3">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x14ac:dyDescent="0.3">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x14ac:dyDescent="0.3">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3">
      <c r="A486">
        <v>25681</v>
      </c>
      <c r="B486" t="s">
        <v>40</v>
      </c>
      <c r="C486" t="s">
        <v>38</v>
      </c>
      <c r="D486" s="3">
        <v>30000</v>
      </c>
      <c r="E486">
        <v>0</v>
      </c>
      <c r="F486" t="s">
        <v>21</v>
      </c>
      <c r="G486" t="s">
        <v>22</v>
      </c>
      <c r="H486" t="s">
        <v>20</v>
      </c>
      <c r="I486">
        <v>1</v>
      </c>
      <c r="J486" t="s">
        <v>24</v>
      </c>
      <c r="K486" t="s">
        <v>19</v>
      </c>
      <c r="L486">
        <v>31</v>
      </c>
      <c r="M486" t="str">
        <f>IF(L486&gt;54, "Old", IF(L486&gt;30,"Middle Age",IF(L486&lt;31,"Adolescent","Invalid")))</f>
        <v>Middle Age</v>
      </c>
      <c r="N486" t="s">
        <v>17</v>
      </c>
    </row>
    <row r="487" spans="1:14" x14ac:dyDescent="0.3">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x14ac:dyDescent="0.3">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x14ac:dyDescent="0.3">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x14ac:dyDescent="0.3">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x14ac:dyDescent="0.3">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x14ac:dyDescent="0.3">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x14ac:dyDescent="0.3">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x14ac:dyDescent="0.3">
      <c r="A494">
        <v>26238</v>
      </c>
      <c r="B494" t="s">
        <v>40</v>
      </c>
      <c r="C494" t="s">
        <v>38</v>
      </c>
      <c r="D494" s="3">
        <v>40000</v>
      </c>
      <c r="E494">
        <v>3</v>
      </c>
      <c r="F494" t="s">
        <v>21</v>
      </c>
      <c r="G494" t="s">
        <v>22</v>
      </c>
      <c r="H494" t="s">
        <v>17</v>
      </c>
      <c r="I494">
        <v>1</v>
      </c>
      <c r="J494" t="s">
        <v>29</v>
      </c>
      <c r="K494" t="s">
        <v>35</v>
      </c>
      <c r="L494">
        <v>31</v>
      </c>
      <c r="M494" t="str">
        <f>IF(L494&gt;54, "Old", IF(L494&gt;30,"Middle Age",IF(L494&lt;31,"Adolescent","Invalid")))</f>
        <v>Middle Age</v>
      </c>
      <c r="N494" t="s">
        <v>17</v>
      </c>
    </row>
    <row r="495" spans="1:14" x14ac:dyDescent="0.3">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x14ac:dyDescent="0.3">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x14ac:dyDescent="0.3">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x14ac:dyDescent="0.3">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x14ac:dyDescent="0.3">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x14ac:dyDescent="0.3">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x14ac:dyDescent="0.3">
      <c r="A501">
        <v>26575</v>
      </c>
      <c r="B501" t="s">
        <v>40</v>
      </c>
      <c r="C501" t="s">
        <v>38</v>
      </c>
      <c r="D501" s="3">
        <v>40000</v>
      </c>
      <c r="E501">
        <v>0</v>
      </c>
      <c r="F501" t="s">
        <v>30</v>
      </c>
      <c r="G501" t="s">
        <v>16</v>
      </c>
      <c r="H501" t="s">
        <v>20</v>
      </c>
      <c r="I501">
        <v>2</v>
      </c>
      <c r="J501" t="s">
        <v>29</v>
      </c>
      <c r="K501" t="s">
        <v>35</v>
      </c>
      <c r="L501">
        <v>31</v>
      </c>
      <c r="M501" t="str">
        <f>IF(L501&gt;54, "Old", IF(L501&gt;30,"Middle Age",IF(L501&lt;31,"Adolescent","Invalid")))</f>
        <v>Middle Age</v>
      </c>
      <c r="N501" t="s">
        <v>17</v>
      </c>
    </row>
    <row r="502" spans="1:14" x14ac:dyDescent="0.3">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x14ac:dyDescent="0.3">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x14ac:dyDescent="0.3">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x14ac:dyDescent="0.3">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x14ac:dyDescent="0.3">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x14ac:dyDescent="0.3">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x14ac:dyDescent="0.3">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x14ac:dyDescent="0.3">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x14ac:dyDescent="0.3">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x14ac:dyDescent="0.3">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x14ac:dyDescent="0.3">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x14ac:dyDescent="0.3">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3">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x14ac:dyDescent="0.3">
      <c r="A515">
        <v>13353</v>
      </c>
      <c r="B515" t="s">
        <v>40</v>
      </c>
      <c r="C515" t="s">
        <v>38</v>
      </c>
      <c r="D515" s="3">
        <v>60000</v>
      </c>
      <c r="E515">
        <v>4</v>
      </c>
      <c r="F515" t="s">
        <v>34</v>
      </c>
      <c r="G515" t="s">
        <v>31</v>
      </c>
      <c r="H515" t="s">
        <v>17</v>
      </c>
      <c r="I515">
        <v>2</v>
      </c>
      <c r="J515" t="s">
        <v>41</v>
      </c>
      <c r="K515" t="s">
        <v>35</v>
      </c>
      <c r="L515">
        <v>61</v>
      </c>
      <c r="M515" t="str">
        <f t="shared" ref="M515:M577" si="8">IF(L515&gt;54, "Old", IF(L515&gt;31,"Middle Age",IF(L515&lt;31,"Adolescent","Invalid")))</f>
        <v>Old</v>
      </c>
      <c r="N515" t="s">
        <v>17</v>
      </c>
    </row>
    <row r="516" spans="1:14" x14ac:dyDescent="0.3">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x14ac:dyDescent="0.3">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x14ac:dyDescent="0.3">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x14ac:dyDescent="0.3">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x14ac:dyDescent="0.3">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x14ac:dyDescent="0.3">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3">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x14ac:dyDescent="0.3">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3">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x14ac:dyDescent="0.3">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x14ac:dyDescent="0.3">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3">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x14ac:dyDescent="0.3">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x14ac:dyDescent="0.3">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x14ac:dyDescent="0.3">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x14ac:dyDescent="0.3">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x14ac:dyDescent="0.3">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x14ac:dyDescent="0.3">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x14ac:dyDescent="0.3">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x14ac:dyDescent="0.3">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3">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3">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x14ac:dyDescent="0.3">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x14ac:dyDescent="0.3">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x14ac:dyDescent="0.3">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x14ac:dyDescent="0.3">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x14ac:dyDescent="0.3">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x14ac:dyDescent="0.3">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x14ac:dyDescent="0.3">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x14ac:dyDescent="0.3">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x14ac:dyDescent="0.3">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x14ac:dyDescent="0.3">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x14ac:dyDescent="0.3">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x14ac:dyDescent="0.3">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x14ac:dyDescent="0.3">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x14ac:dyDescent="0.3">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x14ac:dyDescent="0.3">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x14ac:dyDescent="0.3">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3">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x14ac:dyDescent="0.3">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3">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x14ac:dyDescent="0.3">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x14ac:dyDescent="0.3">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x14ac:dyDescent="0.3">
      <c r="A559">
        <v>24725</v>
      </c>
      <c r="B559" t="s">
        <v>37</v>
      </c>
      <c r="C559" t="s">
        <v>38</v>
      </c>
      <c r="D559" s="3">
        <v>40000</v>
      </c>
      <c r="E559">
        <v>3</v>
      </c>
      <c r="F559" t="s">
        <v>21</v>
      </c>
      <c r="G559" t="s">
        <v>22</v>
      </c>
      <c r="H559" t="s">
        <v>17</v>
      </c>
      <c r="I559">
        <v>0</v>
      </c>
      <c r="J559" t="s">
        <v>29</v>
      </c>
      <c r="K559" t="s">
        <v>35</v>
      </c>
      <c r="L559">
        <v>31</v>
      </c>
      <c r="M559" t="str">
        <f>IF(L559&gt;54, "Old", IF(L559&gt;30,"Middle Age",IF(L559&lt;31,"Adolescent","Invalid")))</f>
        <v>Middle Age</v>
      </c>
      <c r="N559" t="s">
        <v>20</v>
      </c>
    </row>
    <row r="560" spans="1:14" x14ac:dyDescent="0.3">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x14ac:dyDescent="0.3">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x14ac:dyDescent="0.3">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x14ac:dyDescent="0.3">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x14ac:dyDescent="0.3">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x14ac:dyDescent="0.3">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x14ac:dyDescent="0.3">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x14ac:dyDescent="0.3">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x14ac:dyDescent="0.3">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3">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x14ac:dyDescent="0.3">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x14ac:dyDescent="0.3">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3">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x14ac:dyDescent="0.3">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x14ac:dyDescent="0.3">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x14ac:dyDescent="0.3">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3">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x14ac:dyDescent="0.3">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x14ac:dyDescent="0.3">
      <c r="A578">
        <v>18752</v>
      </c>
      <c r="B578" t="s">
        <v>40</v>
      </c>
      <c r="C578" t="s">
        <v>38</v>
      </c>
      <c r="D578" s="3">
        <v>40000</v>
      </c>
      <c r="E578">
        <v>0</v>
      </c>
      <c r="F578" t="s">
        <v>30</v>
      </c>
      <c r="G578" t="s">
        <v>16</v>
      </c>
      <c r="H578" t="s">
        <v>17</v>
      </c>
      <c r="I578">
        <v>1</v>
      </c>
      <c r="J578" t="s">
        <v>26</v>
      </c>
      <c r="K578" t="s">
        <v>35</v>
      </c>
      <c r="L578">
        <v>31</v>
      </c>
      <c r="M578" t="str">
        <f>IF(L578&gt;54, "Old", IF(L578&gt;30,"Middle Age",IF(L578&lt;31,"Adolescent","Invalid")))</f>
        <v>Middle Age</v>
      </c>
      <c r="N578" t="s">
        <v>20</v>
      </c>
    </row>
    <row r="579" spans="1:14" x14ac:dyDescent="0.3">
      <c r="A579">
        <v>16917</v>
      </c>
      <c r="B579" t="s">
        <v>37</v>
      </c>
      <c r="C579" t="s">
        <v>39</v>
      </c>
      <c r="D579" s="3">
        <v>120000</v>
      </c>
      <c r="E579">
        <v>1</v>
      </c>
      <c r="F579" t="s">
        <v>15</v>
      </c>
      <c r="G579" t="s">
        <v>31</v>
      </c>
      <c r="H579" t="s">
        <v>17</v>
      </c>
      <c r="I579">
        <v>4</v>
      </c>
      <c r="J579" t="s">
        <v>18</v>
      </c>
      <c r="K579" t="s">
        <v>35</v>
      </c>
      <c r="L579">
        <v>38</v>
      </c>
      <c r="M579" t="str">
        <f t="shared" ref="M579:M642" si="9">IF(L579&gt;54, "Old", IF(L579&gt;31,"Middle Age",IF(L579&lt;31,"Adolescent","Invalid")))</f>
        <v>Middle Age</v>
      </c>
      <c r="N579" t="s">
        <v>20</v>
      </c>
    </row>
    <row r="580" spans="1:14" x14ac:dyDescent="0.3">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x14ac:dyDescent="0.3">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x14ac:dyDescent="0.3">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3">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x14ac:dyDescent="0.3">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x14ac:dyDescent="0.3">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3">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x14ac:dyDescent="0.3">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x14ac:dyDescent="0.3">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x14ac:dyDescent="0.3">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x14ac:dyDescent="0.3">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x14ac:dyDescent="0.3">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x14ac:dyDescent="0.3">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x14ac:dyDescent="0.3">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3">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x14ac:dyDescent="0.3">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x14ac:dyDescent="0.3">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3">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3">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x14ac:dyDescent="0.3">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x14ac:dyDescent="0.3">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x14ac:dyDescent="0.3">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x14ac:dyDescent="0.3">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x14ac:dyDescent="0.3">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x14ac:dyDescent="0.3">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x14ac:dyDescent="0.3">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x14ac:dyDescent="0.3">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x14ac:dyDescent="0.3">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x14ac:dyDescent="0.3">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x14ac:dyDescent="0.3">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x14ac:dyDescent="0.3">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x14ac:dyDescent="0.3">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x14ac:dyDescent="0.3">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x14ac:dyDescent="0.3">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x14ac:dyDescent="0.3">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x14ac:dyDescent="0.3">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x14ac:dyDescent="0.3">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x14ac:dyDescent="0.3">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x14ac:dyDescent="0.3">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x14ac:dyDescent="0.3">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x14ac:dyDescent="0.3">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x14ac:dyDescent="0.3">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x14ac:dyDescent="0.3">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x14ac:dyDescent="0.3">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x14ac:dyDescent="0.3">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x14ac:dyDescent="0.3">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x14ac:dyDescent="0.3">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x14ac:dyDescent="0.3">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3">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x14ac:dyDescent="0.3">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3">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x14ac:dyDescent="0.3">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x14ac:dyDescent="0.3">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x14ac:dyDescent="0.3">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x14ac:dyDescent="0.3">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x14ac:dyDescent="0.3">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x14ac:dyDescent="0.3">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3">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x14ac:dyDescent="0.3">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x14ac:dyDescent="0.3">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x14ac:dyDescent="0.3">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3">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3">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x14ac:dyDescent="0.3">
      <c r="A643">
        <v>21441</v>
      </c>
      <c r="B643" t="s">
        <v>37</v>
      </c>
      <c r="C643" t="s">
        <v>39</v>
      </c>
      <c r="D643" s="3">
        <v>50000</v>
      </c>
      <c r="E643">
        <v>4</v>
      </c>
      <c r="F643" t="s">
        <v>15</v>
      </c>
      <c r="G643" t="s">
        <v>31</v>
      </c>
      <c r="H643" t="s">
        <v>17</v>
      </c>
      <c r="I643">
        <v>2</v>
      </c>
      <c r="J643" t="s">
        <v>41</v>
      </c>
      <c r="K643" t="s">
        <v>35</v>
      </c>
      <c r="L643">
        <v>64</v>
      </c>
      <c r="M643" t="str">
        <f t="shared" ref="M643:M706" si="10">IF(L643&gt;54, "Old", IF(L643&gt;31,"Middle Age",IF(L643&lt;31,"Adolescent","Invalid")))</f>
        <v>Old</v>
      </c>
      <c r="N643" t="s">
        <v>20</v>
      </c>
    </row>
    <row r="644" spans="1:14" x14ac:dyDescent="0.3">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x14ac:dyDescent="0.3">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x14ac:dyDescent="0.3">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x14ac:dyDescent="0.3">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x14ac:dyDescent="0.3">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x14ac:dyDescent="0.3">
      <c r="A649">
        <v>22010</v>
      </c>
      <c r="B649" t="s">
        <v>40</v>
      </c>
      <c r="C649" t="s">
        <v>39</v>
      </c>
      <c r="D649" s="3">
        <v>40000</v>
      </c>
      <c r="E649">
        <v>0</v>
      </c>
      <c r="F649" t="s">
        <v>30</v>
      </c>
      <c r="G649" t="s">
        <v>16</v>
      </c>
      <c r="H649" t="s">
        <v>17</v>
      </c>
      <c r="I649">
        <v>2</v>
      </c>
      <c r="J649" t="s">
        <v>26</v>
      </c>
      <c r="K649" t="s">
        <v>35</v>
      </c>
      <c r="L649">
        <v>31</v>
      </c>
      <c r="M649" t="str">
        <f>IF(L649&gt;54, "Old", IF(L649&gt;30,"Middle Age",IF(L649&lt;31,"Adolescent","Invalid")))</f>
        <v>Middle Age</v>
      </c>
      <c r="N649" t="s">
        <v>20</v>
      </c>
    </row>
    <row r="650" spans="1:14" x14ac:dyDescent="0.3">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x14ac:dyDescent="0.3">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x14ac:dyDescent="0.3">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3">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x14ac:dyDescent="0.3">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x14ac:dyDescent="0.3">
      <c r="A655">
        <v>13066</v>
      </c>
      <c r="B655" t="s">
        <v>40</v>
      </c>
      <c r="C655" t="s">
        <v>39</v>
      </c>
      <c r="D655" s="3">
        <v>30000</v>
      </c>
      <c r="E655">
        <v>0</v>
      </c>
      <c r="F655" t="s">
        <v>30</v>
      </c>
      <c r="G655" t="s">
        <v>16</v>
      </c>
      <c r="H655" t="s">
        <v>20</v>
      </c>
      <c r="I655">
        <v>2</v>
      </c>
      <c r="J655" t="s">
        <v>29</v>
      </c>
      <c r="K655" t="s">
        <v>35</v>
      </c>
      <c r="L655">
        <v>31</v>
      </c>
      <c r="M655" t="str">
        <f t="shared" ref="M655:M657" si="11">IF(L655&gt;54, "Old", IF(L655&gt;30,"Middle Age",IF(L655&lt;31,"Adolescent","Invalid")))</f>
        <v>Middle Age</v>
      </c>
      <c r="N655" t="s">
        <v>17</v>
      </c>
    </row>
    <row r="656" spans="1:14" x14ac:dyDescent="0.3">
      <c r="A656">
        <v>29106</v>
      </c>
      <c r="B656" t="s">
        <v>40</v>
      </c>
      <c r="C656" t="s">
        <v>39</v>
      </c>
      <c r="D656" s="3">
        <v>40000</v>
      </c>
      <c r="E656">
        <v>0</v>
      </c>
      <c r="F656" t="s">
        <v>30</v>
      </c>
      <c r="G656" t="s">
        <v>16</v>
      </c>
      <c r="H656" t="s">
        <v>20</v>
      </c>
      <c r="I656">
        <v>2</v>
      </c>
      <c r="J656" t="s">
        <v>29</v>
      </c>
      <c r="K656" t="s">
        <v>35</v>
      </c>
      <c r="L656">
        <v>31</v>
      </c>
      <c r="M656" t="str">
        <f t="shared" si="11"/>
        <v>Middle Age</v>
      </c>
      <c r="N656" t="s">
        <v>17</v>
      </c>
    </row>
    <row r="657" spans="1:14" x14ac:dyDescent="0.3">
      <c r="A657">
        <v>26236</v>
      </c>
      <c r="B657" t="s">
        <v>37</v>
      </c>
      <c r="C657" t="s">
        <v>38</v>
      </c>
      <c r="D657" s="3">
        <v>40000</v>
      </c>
      <c r="E657">
        <v>3</v>
      </c>
      <c r="F657" t="s">
        <v>21</v>
      </c>
      <c r="G657" t="s">
        <v>22</v>
      </c>
      <c r="H657" t="s">
        <v>17</v>
      </c>
      <c r="I657">
        <v>1</v>
      </c>
      <c r="J657" t="s">
        <v>18</v>
      </c>
      <c r="K657" t="s">
        <v>35</v>
      </c>
      <c r="L657">
        <v>31</v>
      </c>
      <c r="M657" t="str">
        <f t="shared" si="11"/>
        <v>Middle Age</v>
      </c>
      <c r="N657" t="s">
        <v>20</v>
      </c>
    </row>
    <row r="658" spans="1:14" x14ac:dyDescent="0.3">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x14ac:dyDescent="0.3">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x14ac:dyDescent="0.3">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x14ac:dyDescent="0.3">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3">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x14ac:dyDescent="0.3">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x14ac:dyDescent="0.3">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x14ac:dyDescent="0.3">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x14ac:dyDescent="0.3">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x14ac:dyDescent="0.3">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x14ac:dyDescent="0.3">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x14ac:dyDescent="0.3">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3">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x14ac:dyDescent="0.3">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x14ac:dyDescent="0.3">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x14ac:dyDescent="0.3">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x14ac:dyDescent="0.3">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x14ac:dyDescent="0.3">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x14ac:dyDescent="0.3">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x14ac:dyDescent="0.3">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x14ac:dyDescent="0.3">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x14ac:dyDescent="0.3">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x14ac:dyDescent="0.3">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3">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x14ac:dyDescent="0.3">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x14ac:dyDescent="0.3">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x14ac:dyDescent="0.3">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x14ac:dyDescent="0.3">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x14ac:dyDescent="0.3">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x14ac:dyDescent="0.3">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x14ac:dyDescent="0.3">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x14ac:dyDescent="0.3">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x14ac:dyDescent="0.3">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x14ac:dyDescent="0.3">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x14ac:dyDescent="0.3">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x14ac:dyDescent="0.3">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x14ac:dyDescent="0.3">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x14ac:dyDescent="0.3">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x14ac:dyDescent="0.3">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x14ac:dyDescent="0.3">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x14ac:dyDescent="0.3">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x14ac:dyDescent="0.3">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x14ac:dyDescent="0.3">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x14ac:dyDescent="0.3">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x14ac:dyDescent="0.3">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x14ac:dyDescent="0.3">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x14ac:dyDescent="0.3">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x14ac:dyDescent="0.3">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x14ac:dyDescent="0.3">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x14ac:dyDescent="0.3">
      <c r="A707">
        <v>11199</v>
      </c>
      <c r="B707" t="s">
        <v>37</v>
      </c>
      <c r="C707" t="s">
        <v>38</v>
      </c>
      <c r="D707" s="3">
        <v>70000</v>
      </c>
      <c r="E707">
        <v>4</v>
      </c>
      <c r="F707" t="s">
        <v>15</v>
      </c>
      <c r="G707" t="s">
        <v>31</v>
      </c>
      <c r="H707" t="s">
        <v>17</v>
      </c>
      <c r="I707">
        <v>1</v>
      </c>
      <c r="J707" t="s">
        <v>41</v>
      </c>
      <c r="K707" t="s">
        <v>35</v>
      </c>
      <c r="L707">
        <v>59</v>
      </c>
      <c r="M707" t="str">
        <f t="shared" ref="M707:M770" si="12">IF(L707&gt;54, "Old", IF(L707&gt;31,"Middle Age",IF(L707&lt;31,"Adolescent","Invalid")))</f>
        <v>Old</v>
      </c>
      <c r="N707" t="s">
        <v>20</v>
      </c>
    </row>
    <row r="708" spans="1:14" x14ac:dyDescent="0.3">
      <c r="A708">
        <v>20296</v>
      </c>
      <c r="B708" t="s">
        <v>40</v>
      </c>
      <c r="C708" t="s">
        <v>38</v>
      </c>
      <c r="D708" s="3">
        <v>60000</v>
      </c>
      <c r="E708">
        <v>0</v>
      </c>
      <c r="F708" t="s">
        <v>21</v>
      </c>
      <c r="G708" t="s">
        <v>16</v>
      </c>
      <c r="H708" t="s">
        <v>20</v>
      </c>
      <c r="I708">
        <v>1</v>
      </c>
      <c r="J708" t="s">
        <v>29</v>
      </c>
      <c r="K708" t="s">
        <v>35</v>
      </c>
      <c r="L708">
        <v>33</v>
      </c>
      <c r="M708" t="str">
        <f t="shared" si="12"/>
        <v>Middle Age</v>
      </c>
      <c r="N708" t="s">
        <v>17</v>
      </c>
    </row>
    <row r="709" spans="1:14" x14ac:dyDescent="0.3">
      <c r="A709">
        <v>17546</v>
      </c>
      <c r="B709" t="s">
        <v>37</v>
      </c>
      <c r="C709" t="s">
        <v>38</v>
      </c>
      <c r="D709" s="3">
        <v>70000</v>
      </c>
      <c r="E709">
        <v>1</v>
      </c>
      <c r="F709" t="s">
        <v>21</v>
      </c>
      <c r="G709" t="s">
        <v>16</v>
      </c>
      <c r="H709" t="s">
        <v>17</v>
      </c>
      <c r="I709">
        <v>1</v>
      </c>
      <c r="J709" t="s">
        <v>18</v>
      </c>
      <c r="K709" t="s">
        <v>35</v>
      </c>
      <c r="L709">
        <v>44</v>
      </c>
      <c r="M709" t="str">
        <f t="shared" si="12"/>
        <v>Middle Age</v>
      </c>
      <c r="N709" t="s">
        <v>17</v>
      </c>
    </row>
    <row r="710" spans="1:14" x14ac:dyDescent="0.3">
      <c r="A710">
        <v>18069</v>
      </c>
      <c r="B710" t="s">
        <v>37</v>
      </c>
      <c r="C710" t="s">
        <v>39</v>
      </c>
      <c r="D710" s="3">
        <v>70000</v>
      </c>
      <c r="E710">
        <v>5</v>
      </c>
      <c r="F710" t="s">
        <v>15</v>
      </c>
      <c r="G710" t="s">
        <v>31</v>
      </c>
      <c r="H710" t="s">
        <v>17</v>
      </c>
      <c r="I710">
        <v>4</v>
      </c>
      <c r="J710" t="s">
        <v>41</v>
      </c>
      <c r="K710" t="s">
        <v>35</v>
      </c>
      <c r="L710">
        <v>60</v>
      </c>
      <c r="M710" t="str">
        <f t="shared" si="12"/>
        <v>Old</v>
      </c>
      <c r="N710" t="s">
        <v>20</v>
      </c>
    </row>
    <row r="711" spans="1:14" x14ac:dyDescent="0.3">
      <c r="A711">
        <v>23712</v>
      </c>
      <c r="B711" t="s">
        <v>40</v>
      </c>
      <c r="C711" t="s">
        <v>38</v>
      </c>
      <c r="D711" s="3">
        <v>70000</v>
      </c>
      <c r="E711">
        <v>2</v>
      </c>
      <c r="F711" t="s">
        <v>15</v>
      </c>
      <c r="G711" t="s">
        <v>31</v>
      </c>
      <c r="H711" t="s">
        <v>17</v>
      </c>
      <c r="I711">
        <v>1</v>
      </c>
      <c r="J711" t="s">
        <v>41</v>
      </c>
      <c r="K711" t="s">
        <v>35</v>
      </c>
      <c r="L711">
        <v>59</v>
      </c>
      <c r="M711" t="str">
        <f t="shared" si="12"/>
        <v>Old</v>
      </c>
      <c r="N711" t="s">
        <v>20</v>
      </c>
    </row>
    <row r="712" spans="1:14" x14ac:dyDescent="0.3">
      <c r="A712">
        <v>23358</v>
      </c>
      <c r="B712" t="s">
        <v>37</v>
      </c>
      <c r="C712" t="s">
        <v>39</v>
      </c>
      <c r="D712" s="3">
        <v>60000</v>
      </c>
      <c r="E712">
        <v>0</v>
      </c>
      <c r="F712" t="s">
        <v>30</v>
      </c>
      <c r="G712" t="s">
        <v>23</v>
      </c>
      <c r="H712" t="s">
        <v>17</v>
      </c>
      <c r="I712">
        <v>2</v>
      </c>
      <c r="J712" t="s">
        <v>26</v>
      </c>
      <c r="K712" t="s">
        <v>35</v>
      </c>
      <c r="L712">
        <v>32</v>
      </c>
      <c r="M712" t="str">
        <f t="shared" si="12"/>
        <v>Middle Age</v>
      </c>
      <c r="N712" t="s">
        <v>17</v>
      </c>
    </row>
    <row r="713" spans="1:14" x14ac:dyDescent="0.3">
      <c r="A713">
        <v>20518</v>
      </c>
      <c r="B713" t="s">
        <v>37</v>
      </c>
      <c r="C713" t="s">
        <v>38</v>
      </c>
      <c r="D713" s="3">
        <v>70000</v>
      </c>
      <c r="E713">
        <v>2</v>
      </c>
      <c r="F713" t="s">
        <v>21</v>
      </c>
      <c r="G713" t="s">
        <v>23</v>
      </c>
      <c r="H713" t="s">
        <v>17</v>
      </c>
      <c r="I713">
        <v>1</v>
      </c>
      <c r="J713" t="s">
        <v>41</v>
      </c>
      <c r="K713" t="s">
        <v>35</v>
      </c>
      <c r="L713">
        <v>58</v>
      </c>
      <c r="M713" t="str">
        <f t="shared" si="12"/>
        <v>Old</v>
      </c>
      <c r="N713" t="s">
        <v>20</v>
      </c>
    </row>
    <row r="714" spans="1:14" x14ac:dyDescent="0.3">
      <c r="A714">
        <v>28026</v>
      </c>
      <c r="B714" t="s">
        <v>37</v>
      </c>
      <c r="C714" t="s">
        <v>38</v>
      </c>
      <c r="D714" s="3">
        <v>40000</v>
      </c>
      <c r="E714">
        <v>2</v>
      </c>
      <c r="F714" t="s">
        <v>30</v>
      </c>
      <c r="G714" t="s">
        <v>23</v>
      </c>
      <c r="H714" t="s">
        <v>20</v>
      </c>
      <c r="I714">
        <v>2</v>
      </c>
      <c r="J714" t="s">
        <v>24</v>
      </c>
      <c r="K714" t="s">
        <v>35</v>
      </c>
      <c r="L714">
        <v>59</v>
      </c>
      <c r="M714" t="str">
        <f t="shared" si="12"/>
        <v>Old</v>
      </c>
      <c r="N714" t="s">
        <v>20</v>
      </c>
    </row>
    <row r="715" spans="1:14" x14ac:dyDescent="0.3">
      <c r="A715">
        <v>11669</v>
      </c>
      <c r="B715" t="s">
        <v>40</v>
      </c>
      <c r="C715" t="s">
        <v>38</v>
      </c>
      <c r="D715" s="3">
        <v>70000</v>
      </c>
      <c r="E715">
        <v>2</v>
      </c>
      <c r="F715" t="s">
        <v>15</v>
      </c>
      <c r="G715" t="s">
        <v>16</v>
      </c>
      <c r="H715" t="s">
        <v>17</v>
      </c>
      <c r="I715">
        <v>1</v>
      </c>
      <c r="J715" t="s">
        <v>24</v>
      </c>
      <c r="K715" t="s">
        <v>35</v>
      </c>
      <c r="L715">
        <v>38</v>
      </c>
      <c r="M715" t="str">
        <f t="shared" si="12"/>
        <v>Middle Age</v>
      </c>
      <c r="N715" t="s">
        <v>20</v>
      </c>
    </row>
    <row r="716" spans="1:14" x14ac:dyDescent="0.3">
      <c r="A716">
        <v>16020</v>
      </c>
      <c r="B716" t="s">
        <v>37</v>
      </c>
      <c r="C716" t="s">
        <v>39</v>
      </c>
      <c r="D716" s="3">
        <v>40000</v>
      </c>
      <c r="E716">
        <v>0</v>
      </c>
      <c r="F716" t="s">
        <v>30</v>
      </c>
      <c r="G716" t="s">
        <v>16</v>
      </c>
      <c r="H716" t="s">
        <v>17</v>
      </c>
      <c r="I716">
        <v>2</v>
      </c>
      <c r="J716" t="s">
        <v>26</v>
      </c>
      <c r="K716" t="s">
        <v>35</v>
      </c>
      <c r="L716">
        <v>28</v>
      </c>
      <c r="M716" t="str">
        <f t="shared" si="12"/>
        <v>Adolescent</v>
      </c>
      <c r="N716" t="s">
        <v>17</v>
      </c>
    </row>
    <row r="717" spans="1:14" x14ac:dyDescent="0.3">
      <c r="A717">
        <v>27090</v>
      </c>
      <c r="B717" t="s">
        <v>37</v>
      </c>
      <c r="C717" t="s">
        <v>38</v>
      </c>
      <c r="D717" s="3">
        <v>60000</v>
      </c>
      <c r="E717">
        <v>1</v>
      </c>
      <c r="F717" t="s">
        <v>34</v>
      </c>
      <c r="G717" t="s">
        <v>23</v>
      </c>
      <c r="H717" t="s">
        <v>17</v>
      </c>
      <c r="I717">
        <v>0</v>
      </c>
      <c r="J717" t="s">
        <v>24</v>
      </c>
      <c r="K717" t="s">
        <v>35</v>
      </c>
      <c r="L717">
        <v>37</v>
      </c>
      <c r="M717" t="str">
        <f t="shared" si="12"/>
        <v>Middle Age</v>
      </c>
      <c r="N717" t="s">
        <v>17</v>
      </c>
    </row>
    <row r="718" spans="1:14" x14ac:dyDescent="0.3">
      <c r="A718">
        <v>27198</v>
      </c>
      <c r="B718" t="s">
        <v>40</v>
      </c>
      <c r="C718" t="s">
        <v>38</v>
      </c>
      <c r="D718" s="3">
        <v>80000</v>
      </c>
      <c r="E718">
        <v>0</v>
      </c>
      <c r="F718" t="s">
        <v>34</v>
      </c>
      <c r="G718" t="s">
        <v>16</v>
      </c>
      <c r="H718" t="s">
        <v>20</v>
      </c>
      <c r="I718">
        <v>0</v>
      </c>
      <c r="J718" t="s">
        <v>18</v>
      </c>
      <c r="K718" t="s">
        <v>35</v>
      </c>
      <c r="L718">
        <v>40</v>
      </c>
      <c r="M718" t="str">
        <f t="shared" si="12"/>
        <v>Middle Age</v>
      </c>
      <c r="N718" t="s">
        <v>20</v>
      </c>
    </row>
    <row r="719" spans="1:14" x14ac:dyDescent="0.3">
      <c r="A719">
        <v>19661</v>
      </c>
      <c r="B719" t="s">
        <v>40</v>
      </c>
      <c r="C719" t="s">
        <v>39</v>
      </c>
      <c r="D719" s="3">
        <v>90000</v>
      </c>
      <c r="E719">
        <v>4</v>
      </c>
      <c r="F719" t="s">
        <v>15</v>
      </c>
      <c r="G719" t="s">
        <v>31</v>
      </c>
      <c r="H719" t="s">
        <v>17</v>
      </c>
      <c r="I719">
        <v>1</v>
      </c>
      <c r="J719" t="s">
        <v>29</v>
      </c>
      <c r="K719" t="s">
        <v>35</v>
      </c>
      <c r="L719">
        <v>38</v>
      </c>
      <c r="M719" t="str">
        <f t="shared" si="12"/>
        <v>Middle Age</v>
      </c>
      <c r="N719" t="s">
        <v>17</v>
      </c>
    </row>
    <row r="720" spans="1:14" x14ac:dyDescent="0.3">
      <c r="A720">
        <v>26327</v>
      </c>
      <c r="B720" t="s">
        <v>37</v>
      </c>
      <c r="C720" t="s">
        <v>39</v>
      </c>
      <c r="D720" s="3">
        <v>70000</v>
      </c>
      <c r="E720">
        <v>4</v>
      </c>
      <c r="F720" t="s">
        <v>34</v>
      </c>
      <c r="G720" t="s">
        <v>23</v>
      </c>
      <c r="H720" t="s">
        <v>17</v>
      </c>
      <c r="I720">
        <v>0</v>
      </c>
      <c r="J720" t="s">
        <v>24</v>
      </c>
      <c r="K720" t="s">
        <v>35</v>
      </c>
      <c r="L720">
        <v>36</v>
      </c>
      <c r="M720" t="str">
        <f t="shared" si="12"/>
        <v>Middle Age</v>
      </c>
      <c r="N720" t="s">
        <v>17</v>
      </c>
    </row>
    <row r="721" spans="1:14" x14ac:dyDescent="0.3">
      <c r="A721">
        <v>26341</v>
      </c>
      <c r="B721" t="s">
        <v>37</v>
      </c>
      <c r="C721" t="s">
        <v>38</v>
      </c>
      <c r="D721" s="3">
        <v>70000</v>
      </c>
      <c r="E721">
        <v>5</v>
      </c>
      <c r="F721" t="s">
        <v>34</v>
      </c>
      <c r="G721" t="s">
        <v>23</v>
      </c>
      <c r="H721" t="s">
        <v>17</v>
      </c>
      <c r="I721">
        <v>2</v>
      </c>
      <c r="J721" t="s">
        <v>18</v>
      </c>
      <c r="K721" t="s">
        <v>35</v>
      </c>
      <c r="L721">
        <v>37</v>
      </c>
      <c r="M721" t="str">
        <f t="shared" si="12"/>
        <v>Middle Age</v>
      </c>
      <c r="N721" t="s">
        <v>20</v>
      </c>
    </row>
    <row r="722" spans="1:14" x14ac:dyDescent="0.3">
      <c r="A722">
        <v>24958</v>
      </c>
      <c r="B722" t="s">
        <v>40</v>
      </c>
      <c r="C722" t="s">
        <v>38</v>
      </c>
      <c r="D722" s="3">
        <v>40000</v>
      </c>
      <c r="E722">
        <v>5</v>
      </c>
      <c r="F722" t="s">
        <v>30</v>
      </c>
      <c r="G722" t="s">
        <v>23</v>
      </c>
      <c r="H722" t="s">
        <v>20</v>
      </c>
      <c r="I722">
        <v>3</v>
      </c>
      <c r="J722" t="s">
        <v>24</v>
      </c>
      <c r="K722" t="s">
        <v>35</v>
      </c>
      <c r="L722">
        <v>60</v>
      </c>
      <c r="M722" t="str">
        <f t="shared" si="12"/>
        <v>Old</v>
      </c>
      <c r="N722" t="s">
        <v>17</v>
      </c>
    </row>
    <row r="723" spans="1:14" x14ac:dyDescent="0.3">
      <c r="A723">
        <v>13287</v>
      </c>
      <c r="B723" t="s">
        <v>40</v>
      </c>
      <c r="C723" t="s">
        <v>39</v>
      </c>
      <c r="D723" s="3">
        <v>110000</v>
      </c>
      <c r="E723">
        <v>4</v>
      </c>
      <c r="F723" t="s">
        <v>15</v>
      </c>
      <c r="G723" t="s">
        <v>31</v>
      </c>
      <c r="H723" t="s">
        <v>17</v>
      </c>
      <c r="I723">
        <v>4</v>
      </c>
      <c r="J723" t="s">
        <v>26</v>
      </c>
      <c r="K723" t="s">
        <v>35</v>
      </c>
      <c r="L723">
        <v>42</v>
      </c>
      <c r="M723" t="str">
        <f t="shared" si="12"/>
        <v>Middle Age</v>
      </c>
      <c r="N723" t="s">
        <v>17</v>
      </c>
    </row>
    <row r="724" spans="1:14" x14ac:dyDescent="0.3">
      <c r="A724">
        <v>14493</v>
      </c>
      <c r="B724" t="s">
        <v>40</v>
      </c>
      <c r="C724" t="s">
        <v>38</v>
      </c>
      <c r="D724" s="3">
        <v>70000</v>
      </c>
      <c r="E724">
        <v>3</v>
      </c>
      <c r="F724" t="s">
        <v>34</v>
      </c>
      <c r="G724" t="s">
        <v>31</v>
      </c>
      <c r="H724" t="s">
        <v>20</v>
      </c>
      <c r="I724">
        <v>2</v>
      </c>
      <c r="J724" t="s">
        <v>29</v>
      </c>
      <c r="K724" t="s">
        <v>35</v>
      </c>
      <c r="L724">
        <v>53</v>
      </c>
      <c r="M724" t="str">
        <f t="shared" si="12"/>
        <v>Middle Age</v>
      </c>
      <c r="N724" t="s">
        <v>20</v>
      </c>
    </row>
    <row r="725" spans="1:14" x14ac:dyDescent="0.3">
      <c r="A725">
        <v>26678</v>
      </c>
      <c r="B725" t="s">
        <v>40</v>
      </c>
      <c r="C725" t="s">
        <v>38</v>
      </c>
      <c r="D725" s="3">
        <v>80000</v>
      </c>
      <c r="E725">
        <v>2</v>
      </c>
      <c r="F725" t="s">
        <v>32</v>
      </c>
      <c r="G725" t="s">
        <v>16</v>
      </c>
      <c r="H725" t="s">
        <v>17</v>
      </c>
      <c r="I725">
        <v>2</v>
      </c>
      <c r="J725" t="s">
        <v>26</v>
      </c>
      <c r="K725" t="s">
        <v>35</v>
      </c>
      <c r="L725">
        <v>49</v>
      </c>
      <c r="M725" t="str">
        <f t="shared" si="12"/>
        <v>Middle Age</v>
      </c>
      <c r="N725" t="s">
        <v>20</v>
      </c>
    </row>
    <row r="726" spans="1:14" x14ac:dyDescent="0.3">
      <c r="A726">
        <v>23275</v>
      </c>
      <c r="B726" t="s">
        <v>37</v>
      </c>
      <c r="C726" t="s">
        <v>39</v>
      </c>
      <c r="D726" s="3">
        <v>30000</v>
      </c>
      <c r="E726">
        <v>2</v>
      </c>
      <c r="F726" t="s">
        <v>30</v>
      </c>
      <c r="G726" t="s">
        <v>16</v>
      </c>
      <c r="H726" t="s">
        <v>17</v>
      </c>
      <c r="I726">
        <v>2</v>
      </c>
      <c r="J726" t="s">
        <v>29</v>
      </c>
      <c r="K726" t="s">
        <v>35</v>
      </c>
      <c r="L726">
        <v>49</v>
      </c>
      <c r="M726" t="str">
        <f t="shared" si="12"/>
        <v>Middle Age</v>
      </c>
      <c r="N726" t="s">
        <v>20</v>
      </c>
    </row>
    <row r="727" spans="1:14" x14ac:dyDescent="0.3">
      <c r="A727">
        <v>11270</v>
      </c>
      <c r="B727" t="s">
        <v>37</v>
      </c>
      <c r="C727" t="s">
        <v>39</v>
      </c>
      <c r="D727" s="3">
        <v>130000</v>
      </c>
      <c r="E727">
        <v>2</v>
      </c>
      <c r="F727" t="s">
        <v>34</v>
      </c>
      <c r="G727" t="s">
        <v>31</v>
      </c>
      <c r="H727" t="s">
        <v>17</v>
      </c>
      <c r="I727">
        <v>3</v>
      </c>
      <c r="J727" t="s">
        <v>18</v>
      </c>
      <c r="K727" t="s">
        <v>35</v>
      </c>
      <c r="L727">
        <v>42</v>
      </c>
      <c r="M727" t="str">
        <f t="shared" si="12"/>
        <v>Middle Age</v>
      </c>
      <c r="N727" t="s">
        <v>17</v>
      </c>
    </row>
    <row r="728" spans="1:14" x14ac:dyDescent="0.3">
      <c r="A728">
        <v>20084</v>
      </c>
      <c r="B728" t="s">
        <v>37</v>
      </c>
      <c r="C728" t="s">
        <v>39</v>
      </c>
      <c r="D728" s="3">
        <v>20000</v>
      </c>
      <c r="E728">
        <v>2</v>
      </c>
      <c r="F728" t="s">
        <v>30</v>
      </c>
      <c r="G728" t="s">
        <v>28</v>
      </c>
      <c r="H728" t="s">
        <v>20</v>
      </c>
      <c r="I728">
        <v>2</v>
      </c>
      <c r="J728" t="s">
        <v>18</v>
      </c>
      <c r="K728" t="s">
        <v>35</v>
      </c>
      <c r="L728">
        <v>53</v>
      </c>
      <c r="M728" t="str">
        <f t="shared" si="12"/>
        <v>Middle Age</v>
      </c>
      <c r="N728" t="s">
        <v>20</v>
      </c>
    </row>
    <row r="729" spans="1:14" x14ac:dyDescent="0.3">
      <c r="A729">
        <v>16144</v>
      </c>
      <c r="B729" t="s">
        <v>37</v>
      </c>
      <c r="C729" t="s">
        <v>39</v>
      </c>
      <c r="D729" s="3">
        <v>70000</v>
      </c>
      <c r="E729">
        <v>1</v>
      </c>
      <c r="F729" t="s">
        <v>34</v>
      </c>
      <c r="G729" t="s">
        <v>23</v>
      </c>
      <c r="H729" t="s">
        <v>17</v>
      </c>
      <c r="I729">
        <v>1</v>
      </c>
      <c r="J729" t="s">
        <v>18</v>
      </c>
      <c r="K729" t="s">
        <v>35</v>
      </c>
      <c r="L729">
        <v>46</v>
      </c>
      <c r="M729" t="str">
        <f t="shared" si="12"/>
        <v>Middle Age</v>
      </c>
      <c r="N729" t="s">
        <v>17</v>
      </c>
    </row>
    <row r="730" spans="1:14" x14ac:dyDescent="0.3">
      <c r="A730">
        <v>27731</v>
      </c>
      <c r="B730" t="s">
        <v>37</v>
      </c>
      <c r="C730" t="s">
        <v>39</v>
      </c>
      <c r="D730" s="3">
        <v>40000</v>
      </c>
      <c r="E730">
        <v>0</v>
      </c>
      <c r="F730" t="s">
        <v>30</v>
      </c>
      <c r="G730" t="s">
        <v>16</v>
      </c>
      <c r="H730" t="s">
        <v>17</v>
      </c>
      <c r="I730">
        <v>2</v>
      </c>
      <c r="J730" t="s">
        <v>26</v>
      </c>
      <c r="K730" t="s">
        <v>35</v>
      </c>
      <c r="L730">
        <v>27</v>
      </c>
      <c r="M730" t="str">
        <f t="shared" si="12"/>
        <v>Adolescent</v>
      </c>
      <c r="N730" t="s">
        <v>20</v>
      </c>
    </row>
    <row r="731" spans="1:14" x14ac:dyDescent="0.3">
      <c r="A731">
        <v>11886</v>
      </c>
      <c r="B731" t="s">
        <v>37</v>
      </c>
      <c r="C731" t="s">
        <v>38</v>
      </c>
      <c r="D731" s="3">
        <v>60000</v>
      </c>
      <c r="E731">
        <v>3</v>
      </c>
      <c r="F731" t="s">
        <v>15</v>
      </c>
      <c r="G731" t="s">
        <v>23</v>
      </c>
      <c r="H731" t="s">
        <v>17</v>
      </c>
      <c r="I731">
        <v>1</v>
      </c>
      <c r="J731" t="s">
        <v>18</v>
      </c>
      <c r="K731" t="s">
        <v>35</v>
      </c>
      <c r="L731">
        <v>48</v>
      </c>
      <c r="M731" t="str">
        <f t="shared" si="12"/>
        <v>Middle Age</v>
      </c>
      <c r="N731" t="s">
        <v>17</v>
      </c>
    </row>
    <row r="732" spans="1:14" x14ac:dyDescent="0.3">
      <c r="A732">
        <v>24324</v>
      </c>
      <c r="B732" t="s">
        <v>40</v>
      </c>
      <c r="C732" t="s">
        <v>38</v>
      </c>
      <c r="D732" s="3">
        <v>60000</v>
      </c>
      <c r="E732">
        <v>4</v>
      </c>
      <c r="F732" t="s">
        <v>15</v>
      </c>
      <c r="G732" t="s">
        <v>16</v>
      </c>
      <c r="H732" t="s">
        <v>17</v>
      </c>
      <c r="I732">
        <v>2</v>
      </c>
      <c r="J732" t="s">
        <v>24</v>
      </c>
      <c r="K732" t="s">
        <v>35</v>
      </c>
      <c r="L732">
        <v>41</v>
      </c>
      <c r="M732" t="str">
        <f t="shared" si="12"/>
        <v>Middle Age</v>
      </c>
      <c r="N732" t="s">
        <v>17</v>
      </c>
    </row>
    <row r="733" spans="1:14" x14ac:dyDescent="0.3">
      <c r="A733">
        <v>22220</v>
      </c>
      <c r="B733" t="s">
        <v>37</v>
      </c>
      <c r="C733" t="s">
        <v>39</v>
      </c>
      <c r="D733" s="3">
        <v>60000</v>
      </c>
      <c r="E733">
        <v>2</v>
      </c>
      <c r="F733" t="s">
        <v>30</v>
      </c>
      <c r="G733" t="s">
        <v>23</v>
      </c>
      <c r="H733" t="s">
        <v>20</v>
      </c>
      <c r="I733">
        <v>2</v>
      </c>
      <c r="J733" t="s">
        <v>29</v>
      </c>
      <c r="K733" t="s">
        <v>35</v>
      </c>
      <c r="L733">
        <v>49</v>
      </c>
      <c r="M733" t="str">
        <f t="shared" si="12"/>
        <v>Middle Age</v>
      </c>
      <c r="N733" t="s">
        <v>17</v>
      </c>
    </row>
    <row r="734" spans="1:14" x14ac:dyDescent="0.3">
      <c r="A734">
        <v>26625</v>
      </c>
      <c r="B734" t="s">
        <v>40</v>
      </c>
      <c r="C734" t="s">
        <v>38</v>
      </c>
      <c r="D734" s="3">
        <v>60000</v>
      </c>
      <c r="E734">
        <v>0</v>
      </c>
      <c r="F734" t="s">
        <v>34</v>
      </c>
      <c r="G734" t="s">
        <v>23</v>
      </c>
      <c r="H734" t="s">
        <v>17</v>
      </c>
      <c r="I734">
        <v>1</v>
      </c>
      <c r="J734" t="s">
        <v>24</v>
      </c>
      <c r="K734" t="s">
        <v>35</v>
      </c>
      <c r="L734">
        <v>38</v>
      </c>
      <c r="M734" t="str">
        <f t="shared" si="12"/>
        <v>Middle Age</v>
      </c>
      <c r="N734" t="s">
        <v>17</v>
      </c>
    </row>
    <row r="735" spans="1:14" x14ac:dyDescent="0.3">
      <c r="A735">
        <v>23027</v>
      </c>
      <c r="B735" t="s">
        <v>40</v>
      </c>
      <c r="C735" t="s">
        <v>39</v>
      </c>
      <c r="D735" s="3">
        <v>130000</v>
      </c>
      <c r="E735">
        <v>1</v>
      </c>
      <c r="F735" t="s">
        <v>15</v>
      </c>
      <c r="G735" t="s">
        <v>31</v>
      </c>
      <c r="H735" t="s">
        <v>20</v>
      </c>
      <c r="I735">
        <v>4</v>
      </c>
      <c r="J735" t="s">
        <v>18</v>
      </c>
      <c r="K735" t="s">
        <v>35</v>
      </c>
      <c r="L735">
        <v>44</v>
      </c>
      <c r="M735" t="str">
        <f t="shared" si="12"/>
        <v>Middle Age</v>
      </c>
      <c r="N735" t="s">
        <v>20</v>
      </c>
    </row>
    <row r="736" spans="1:14" x14ac:dyDescent="0.3">
      <c r="A736">
        <v>16867</v>
      </c>
      <c r="B736" t="s">
        <v>40</v>
      </c>
      <c r="C736" t="s">
        <v>38</v>
      </c>
      <c r="D736" s="3">
        <v>130000</v>
      </c>
      <c r="E736">
        <v>1</v>
      </c>
      <c r="F736" t="s">
        <v>15</v>
      </c>
      <c r="G736" t="s">
        <v>31</v>
      </c>
      <c r="H736" t="s">
        <v>20</v>
      </c>
      <c r="I736">
        <v>3</v>
      </c>
      <c r="J736" t="s">
        <v>18</v>
      </c>
      <c r="K736" t="s">
        <v>35</v>
      </c>
      <c r="L736">
        <v>45</v>
      </c>
      <c r="M736" t="str">
        <f t="shared" si="12"/>
        <v>Middle Age</v>
      </c>
      <c r="N736" t="s">
        <v>17</v>
      </c>
    </row>
    <row r="737" spans="1:14" x14ac:dyDescent="0.3">
      <c r="A737">
        <v>14514</v>
      </c>
      <c r="B737" t="s">
        <v>40</v>
      </c>
      <c r="C737" t="s">
        <v>38</v>
      </c>
      <c r="D737" s="3">
        <v>30000</v>
      </c>
      <c r="E737">
        <v>0</v>
      </c>
      <c r="F737" t="s">
        <v>21</v>
      </c>
      <c r="G737" t="s">
        <v>16</v>
      </c>
      <c r="H737" t="s">
        <v>17</v>
      </c>
      <c r="I737">
        <v>1</v>
      </c>
      <c r="J737" t="s">
        <v>26</v>
      </c>
      <c r="K737" t="s">
        <v>35</v>
      </c>
      <c r="L737">
        <v>26</v>
      </c>
      <c r="M737" t="str">
        <f t="shared" si="12"/>
        <v>Adolescent</v>
      </c>
      <c r="N737" t="s">
        <v>20</v>
      </c>
    </row>
    <row r="738" spans="1:14" x14ac:dyDescent="0.3">
      <c r="A738">
        <v>19634</v>
      </c>
      <c r="B738" t="s">
        <v>37</v>
      </c>
      <c r="C738" t="s">
        <v>39</v>
      </c>
      <c r="D738" s="3">
        <v>40000</v>
      </c>
      <c r="E738">
        <v>0</v>
      </c>
      <c r="F738" t="s">
        <v>30</v>
      </c>
      <c r="G738" t="s">
        <v>16</v>
      </c>
      <c r="H738" t="s">
        <v>17</v>
      </c>
      <c r="I738">
        <v>1</v>
      </c>
      <c r="J738" t="s">
        <v>26</v>
      </c>
      <c r="K738" t="s">
        <v>35</v>
      </c>
      <c r="L738">
        <v>31</v>
      </c>
      <c r="M738" t="str">
        <f>IF(L738&gt;54, "Old", IF(L738&gt;30,"Middle Age",IF(L738&lt;31,"Adolescent","Invalid")))</f>
        <v>Middle Age</v>
      </c>
      <c r="N738" t="s">
        <v>20</v>
      </c>
    </row>
    <row r="739" spans="1:14" x14ac:dyDescent="0.3">
      <c r="A739">
        <v>18504</v>
      </c>
      <c r="B739" t="s">
        <v>37</v>
      </c>
      <c r="C739" t="s">
        <v>39</v>
      </c>
      <c r="D739" s="3">
        <v>70000</v>
      </c>
      <c r="E739">
        <v>2</v>
      </c>
      <c r="F739" t="s">
        <v>32</v>
      </c>
      <c r="G739" t="s">
        <v>16</v>
      </c>
      <c r="H739" t="s">
        <v>20</v>
      </c>
      <c r="I739">
        <v>2</v>
      </c>
      <c r="J739" t="s">
        <v>29</v>
      </c>
      <c r="K739" t="s">
        <v>35</v>
      </c>
      <c r="L739">
        <v>49</v>
      </c>
      <c r="M739" t="str">
        <f t="shared" si="12"/>
        <v>Middle Age</v>
      </c>
      <c r="N739" t="s">
        <v>20</v>
      </c>
    </row>
    <row r="740" spans="1:14" x14ac:dyDescent="0.3">
      <c r="A740">
        <v>28799</v>
      </c>
      <c r="B740" t="s">
        <v>40</v>
      </c>
      <c r="C740" t="s">
        <v>38</v>
      </c>
      <c r="D740" s="3">
        <v>40000</v>
      </c>
      <c r="E740">
        <v>2</v>
      </c>
      <c r="F740" t="s">
        <v>21</v>
      </c>
      <c r="G740" t="s">
        <v>22</v>
      </c>
      <c r="H740" t="s">
        <v>20</v>
      </c>
      <c r="I740">
        <v>1</v>
      </c>
      <c r="J740" t="s">
        <v>29</v>
      </c>
      <c r="K740" t="s">
        <v>35</v>
      </c>
      <c r="L740">
        <v>47</v>
      </c>
      <c r="M740" t="str">
        <f t="shared" si="12"/>
        <v>Middle Age</v>
      </c>
      <c r="N740" t="s">
        <v>17</v>
      </c>
    </row>
    <row r="741" spans="1:14" x14ac:dyDescent="0.3">
      <c r="A741">
        <v>11225</v>
      </c>
      <c r="B741" t="s">
        <v>37</v>
      </c>
      <c r="C741" t="s">
        <v>38</v>
      </c>
      <c r="D741" s="3">
        <v>60000</v>
      </c>
      <c r="E741">
        <v>2</v>
      </c>
      <c r="F741" t="s">
        <v>21</v>
      </c>
      <c r="G741" t="s">
        <v>23</v>
      </c>
      <c r="H741" t="s">
        <v>17</v>
      </c>
      <c r="I741">
        <v>1</v>
      </c>
      <c r="J741" t="s">
        <v>41</v>
      </c>
      <c r="K741" t="s">
        <v>35</v>
      </c>
      <c r="L741">
        <v>55</v>
      </c>
      <c r="M741" t="str">
        <f t="shared" si="12"/>
        <v>Old</v>
      </c>
      <c r="N741" t="s">
        <v>20</v>
      </c>
    </row>
    <row r="742" spans="1:14" x14ac:dyDescent="0.3">
      <c r="A742">
        <v>17657</v>
      </c>
      <c r="B742" t="s">
        <v>37</v>
      </c>
      <c r="C742" t="s">
        <v>39</v>
      </c>
      <c r="D742" s="3">
        <v>40000</v>
      </c>
      <c r="E742">
        <v>4</v>
      </c>
      <c r="F742" t="s">
        <v>21</v>
      </c>
      <c r="G742" t="s">
        <v>22</v>
      </c>
      <c r="H742" t="s">
        <v>20</v>
      </c>
      <c r="I742">
        <v>0</v>
      </c>
      <c r="J742" t="s">
        <v>18</v>
      </c>
      <c r="K742" t="s">
        <v>35</v>
      </c>
      <c r="L742">
        <v>30</v>
      </c>
      <c r="M742" t="str">
        <f t="shared" si="12"/>
        <v>Adolescent</v>
      </c>
      <c r="N742" t="s">
        <v>20</v>
      </c>
    </row>
    <row r="743" spans="1:14" x14ac:dyDescent="0.3">
      <c r="A743">
        <v>14913</v>
      </c>
      <c r="B743" t="s">
        <v>37</v>
      </c>
      <c r="C743" t="s">
        <v>38</v>
      </c>
      <c r="D743" s="3">
        <v>40000</v>
      </c>
      <c r="E743">
        <v>1</v>
      </c>
      <c r="F743" t="s">
        <v>21</v>
      </c>
      <c r="G743" t="s">
        <v>22</v>
      </c>
      <c r="H743" t="s">
        <v>17</v>
      </c>
      <c r="I743">
        <v>1</v>
      </c>
      <c r="J743" t="s">
        <v>29</v>
      </c>
      <c r="K743" t="s">
        <v>35</v>
      </c>
      <c r="L743">
        <v>48</v>
      </c>
      <c r="M743" t="str">
        <f t="shared" si="12"/>
        <v>Middle Age</v>
      </c>
      <c r="N743" t="s">
        <v>17</v>
      </c>
    </row>
    <row r="744" spans="1:14" x14ac:dyDescent="0.3">
      <c r="A744">
        <v>14077</v>
      </c>
      <c r="B744" t="s">
        <v>40</v>
      </c>
      <c r="C744" t="s">
        <v>39</v>
      </c>
      <c r="D744" s="3">
        <v>30000</v>
      </c>
      <c r="E744">
        <v>0</v>
      </c>
      <c r="F744" t="s">
        <v>30</v>
      </c>
      <c r="G744" t="s">
        <v>16</v>
      </c>
      <c r="H744" t="s">
        <v>17</v>
      </c>
      <c r="I744">
        <v>2</v>
      </c>
      <c r="J744" t="s">
        <v>26</v>
      </c>
      <c r="K744" t="s">
        <v>35</v>
      </c>
      <c r="L744">
        <v>30</v>
      </c>
      <c r="M744" t="str">
        <f t="shared" si="12"/>
        <v>Adolescent</v>
      </c>
      <c r="N744" t="s">
        <v>20</v>
      </c>
    </row>
    <row r="745" spans="1:14" x14ac:dyDescent="0.3">
      <c r="A745">
        <v>13296</v>
      </c>
      <c r="B745" t="s">
        <v>37</v>
      </c>
      <c r="C745" t="s">
        <v>39</v>
      </c>
      <c r="D745" s="3">
        <v>110000</v>
      </c>
      <c r="E745">
        <v>1</v>
      </c>
      <c r="F745" t="s">
        <v>15</v>
      </c>
      <c r="G745" t="s">
        <v>31</v>
      </c>
      <c r="H745" t="s">
        <v>17</v>
      </c>
      <c r="I745">
        <v>3</v>
      </c>
      <c r="J745" t="s">
        <v>26</v>
      </c>
      <c r="K745" t="s">
        <v>35</v>
      </c>
      <c r="L745">
        <v>45</v>
      </c>
      <c r="M745" t="str">
        <f t="shared" si="12"/>
        <v>Middle Age</v>
      </c>
      <c r="N745" t="s">
        <v>20</v>
      </c>
    </row>
    <row r="746" spans="1:14" x14ac:dyDescent="0.3">
      <c r="A746">
        <v>20535</v>
      </c>
      <c r="B746" t="s">
        <v>37</v>
      </c>
      <c r="C746" t="s">
        <v>38</v>
      </c>
      <c r="D746" s="3">
        <v>70000</v>
      </c>
      <c r="E746">
        <v>4</v>
      </c>
      <c r="F746" t="s">
        <v>21</v>
      </c>
      <c r="G746" t="s">
        <v>23</v>
      </c>
      <c r="H746" t="s">
        <v>17</v>
      </c>
      <c r="I746">
        <v>1</v>
      </c>
      <c r="J746" t="s">
        <v>41</v>
      </c>
      <c r="K746" t="s">
        <v>35</v>
      </c>
      <c r="L746">
        <v>56</v>
      </c>
      <c r="M746" t="str">
        <f t="shared" si="12"/>
        <v>Old</v>
      </c>
      <c r="N746" t="s">
        <v>20</v>
      </c>
    </row>
    <row r="747" spans="1:14" x14ac:dyDescent="0.3">
      <c r="A747">
        <v>12452</v>
      </c>
      <c r="B747" t="s">
        <v>37</v>
      </c>
      <c r="C747" t="s">
        <v>39</v>
      </c>
      <c r="D747" s="3">
        <v>60000</v>
      </c>
      <c r="E747">
        <v>4</v>
      </c>
      <c r="F747" t="s">
        <v>34</v>
      </c>
      <c r="G747" t="s">
        <v>16</v>
      </c>
      <c r="H747" t="s">
        <v>17</v>
      </c>
      <c r="I747">
        <v>0</v>
      </c>
      <c r="J747" t="s">
        <v>29</v>
      </c>
      <c r="K747" t="s">
        <v>35</v>
      </c>
      <c r="L747">
        <v>47</v>
      </c>
      <c r="M747" t="str">
        <f t="shared" si="12"/>
        <v>Middle Age</v>
      </c>
      <c r="N747" t="s">
        <v>17</v>
      </c>
    </row>
    <row r="748" spans="1:14" x14ac:dyDescent="0.3">
      <c r="A748">
        <v>28043</v>
      </c>
      <c r="B748" t="s">
        <v>37</v>
      </c>
      <c r="C748" t="s">
        <v>38</v>
      </c>
      <c r="D748" s="3">
        <v>60000</v>
      </c>
      <c r="E748">
        <v>2</v>
      </c>
      <c r="F748" t="s">
        <v>15</v>
      </c>
      <c r="G748" t="s">
        <v>31</v>
      </c>
      <c r="H748" t="s">
        <v>17</v>
      </c>
      <c r="I748">
        <v>0</v>
      </c>
      <c r="J748" t="s">
        <v>41</v>
      </c>
      <c r="K748" t="s">
        <v>35</v>
      </c>
      <c r="L748">
        <v>56</v>
      </c>
      <c r="M748" t="str">
        <f t="shared" si="12"/>
        <v>Old</v>
      </c>
      <c r="N748" t="s">
        <v>20</v>
      </c>
    </row>
    <row r="749" spans="1:14" x14ac:dyDescent="0.3">
      <c r="A749">
        <v>12957</v>
      </c>
      <c r="B749" t="s">
        <v>40</v>
      </c>
      <c r="C749" t="s">
        <v>38</v>
      </c>
      <c r="D749" s="3">
        <v>70000</v>
      </c>
      <c r="E749">
        <v>1</v>
      </c>
      <c r="F749" t="s">
        <v>15</v>
      </c>
      <c r="G749" t="s">
        <v>23</v>
      </c>
      <c r="H749" t="s">
        <v>20</v>
      </c>
      <c r="I749">
        <v>1</v>
      </c>
      <c r="J749" t="s">
        <v>18</v>
      </c>
      <c r="K749" t="s">
        <v>35</v>
      </c>
      <c r="L749">
        <v>44</v>
      </c>
      <c r="M749" t="str">
        <f t="shared" si="12"/>
        <v>Middle Age</v>
      </c>
      <c r="N749" t="s">
        <v>20</v>
      </c>
    </row>
    <row r="750" spans="1:14" x14ac:dyDescent="0.3">
      <c r="A750">
        <v>15412</v>
      </c>
      <c r="B750" t="s">
        <v>37</v>
      </c>
      <c r="C750" t="s">
        <v>39</v>
      </c>
      <c r="D750" s="3">
        <v>130000</v>
      </c>
      <c r="E750">
        <v>2</v>
      </c>
      <c r="F750" t="s">
        <v>34</v>
      </c>
      <c r="G750" t="s">
        <v>31</v>
      </c>
      <c r="H750" t="s">
        <v>17</v>
      </c>
      <c r="I750">
        <v>3</v>
      </c>
      <c r="J750" t="s">
        <v>24</v>
      </c>
      <c r="K750" t="s">
        <v>35</v>
      </c>
      <c r="L750">
        <v>69</v>
      </c>
      <c r="M750" t="str">
        <f t="shared" si="12"/>
        <v>Old</v>
      </c>
      <c r="N750" t="s">
        <v>20</v>
      </c>
    </row>
    <row r="751" spans="1:14" x14ac:dyDescent="0.3">
      <c r="A751">
        <v>20514</v>
      </c>
      <c r="B751" t="s">
        <v>37</v>
      </c>
      <c r="C751" t="s">
        <v>38</v>
      </c>
      <c r="D751" s="3">
        <v>70000</v>
      </c>
      <c r="E751">
        <v>2</v>
      </c>
      <c r="F751" t="s">
        <v>21</v>
      </c>
      <c r="G751" t="s">
        <v>23</v>
      </c>
      <c r="H751" t="s">
        <v>17</v>
      </c>
      <c r="I751">
        <v>1</v>
      </c>
      <c r="J751" t="s">
        <v>24</v>
      </c>
      <c r="K751" t="s">
        <v>35</v>
      </c>
      <c r="L751">
        <v>59</v>
      </c>
      <c r="M751" t="str">
        <f t="shared" si="12"/>
        <v>Old</v>
      </c>
      <c r="N751" t="s">
        <v>20</v>
      </c>
    </row>
    <row r="752" spans="1:14" x14ac:dyDescent="0.3">
      <c r="A752">
        <v>20758</v>
      </c>
      <c r="B752" t="s">
        <v>37</v>
      </c>
      <c r="C752" t="s">
        <v>39</v>
      </c>
      <c r="D752" s="3">
        <v>30000</v>
      </c>
      <c r="E752">
        <v>2</v>
      </c>
      <c r="F752" t="s">
        <v>30</v>
      </c>
      <c r="G752" t="s">
        <v>16</v>
      </c>
      <c r="H752" t="s">
        <v>17</v>
      </c>
      <c r="I752">
        <v>2</v>
      </c>
      <c r="J752" t="s">
        <v>29</v>
      </c>
      <c r="K752" t="s">
        <v>35</v>
      </c>
      <c r="L752">
        <v>50</v>
      </c>
      <c r="M752" t="str">
        <f t="shared" si="12"/>
        <v>Middle Age</v>
      </c>
      <c r="N752" t="s">
        <v>20</v>
      </c>
    </row>
    <row r="753" spans="1:14" x14ac:dyDescent="0.3">
      <c r="A753">
        <v>11801</v>
      </c>
      <c r="B753" t="s">
        <v>37</v>
      </c>
      <c r="C753" t="s">
        <v>39</v>
      </c>
      <c r="D753" s="3">
        <v>60000</v>
      </c>
      <c r="E753">
        <v>1</v>
      </c>
      <c r="F753" t="s">
        <v>34</v>
      </c>
      <c r="G753" t="s">
        <v>23</v>
      </c>
      <c r="H753" t="s">
        <v>17</v>
      </c>
      <c r="I753">
        <v>0</v>
      </c>
      <c r="J753" t="s">
        <v>24</v>
      </c>
      <c r="K753" t="s">
        <v>35</v>
      </c>
      <c r="L753">
        <v>36</v>
      </c>
      <c r="M753" t="str">
        <f t="shared" si="12"/>
        <v>Middle Age</v>
      </c>
      <c r="N753" t="s">
        <v>20</v>
      </c>
    </row>
    <row r="754" spans="1:14" x14ac:dyDescent="0.3">
      <c r="A754">
        <v>22211</v>
      </c>
      <c r="B754" t="s">
        <v>37</v>
      </c>
      <c r="C754" t="s">
        <v>39</v>
      </c>
      <c r="D754" s="3">
        <v>60000</v>
      </c>
      <c r="E754">
        <v>0</v>
      </c>
      <c r="F754" t="s">
        <v>21</v>
      </c>
      <c r="G754" t="s">
        <v>23</v>
      </c>
      <c r="H754" t="s">
        <v>17</v>
      </c>
      <c r="I754">
        <v>2</v>
      </c>
      <c r="J754" t="s">
        <v>26</v>
      </c>
      <c r="K754" t="s">
        <v>35</v>
      </c>
      <c r="L754">
        <v>32</v>
      </c>
      <c r="M754" t="str">
        <f t="shared" si="12"/>
        <v>Middle Age</v>
      </c>
      <c r="N754" t="s">
        <v>20</v>
      </c>
    </row>
    <row r="755" spans="1:14" x14ac:dyDescent="0.3">
      <c r="A755">
        <v>28087</v>
      </c>
      <c r="B755" t="s">
        <v>40</v>
      </c>
      <c r="C755" t="s">
        <v>38</v>
      </c>
      <c r="D755" s="3">
        <v>40000</v>
      </c>
      <c r="E755">
        <v>0</v>
      </c>
      <c r="F755" t="s">
        <v>21</v>
      </c>
      <c r="G755" t="s">
        <v>16</v>
      </c>
      <c r="H755" t="s">
        <v>20</v>
      </c>
      <c r="I755">
        <v>1</v>
      </c>
      <c r="J755" t="s">
        <v>29</v>
      </c>
      <c r="K755" t="s">
        <v>35</v>
      </c>
      <c r="L755">
        <v>27</v>
      </c>
      <c r="M755" t="str">
        <f t="shared" si="12"/>
        <v>Adolescent</v>
      </c>
      <c r="N755" t="s">
        <v>20</v>
      </c>
    </row>
    <row r="756" spans="1:14" x14ac:dyDescent="0.3">
      <c r="A756">
        <v>23668</v>
      </c>
      <c r="B756" t="s">
        <v>37</v>
      </c>
      <c r="C756" t="s">
        <v>38</v>
      </c>
      <c r="D756" s="3">
        <v>40000</v>
      </c>
      <c r="E756">
        <v>4</v>
      </c>
      <c r="F756" t="s">
        <v>30</v>
      </c>
      <c r="G756" t="s">
        <v>23</v>
      </c>
      <c r="H756" t="s">
        <v>17</v>
      </c>
      <c r="I756">
        <v>2</v>
      </c>
      <c r="J756" t="s">
        <v>26</v>
      </c>
      <c r="K756" t="s">
        <v>35</v>
      </c>
      <c r="L756">
        <v>59</v>
      </c>
      <c r="M756" t="str">
        <f t="shared" si="12"/>
        <v>Old</v>
      </c>
      <c r="N756" t="s">
        <v>17</v>
      </c>
    </row>
    <row r="757" spans="1:14" x14ac:dyDescent="0.3">
      <c r="A757">
        <v>27441</v>
      </c>
      <c r="B757" t="s">
        <v>37</v>
      </c>
      <c r="C757" t="s">
        <v>39</v>
      </c>
      <c r="D757" s="3">
        <v>60000</v>
      </c>
      <c r="E757">
        <v>3</v>
      </c>
      <c r="F757" t="s">
        <v>30</v>
      </c>
      <c r="G757" t="s">
        <v>23</v>
      </c>
      <c r="H757" t="s">
        <v>20</v>
      </c>
      <c r="I757">
        <v>2</v>
      </c>
      <c r="J757" t="s">
        <v>24</v>
      </c>
      <c r="K757" t="s">
        <v>35</v>
      </c>
      <c r="L757">
        <v>53</v>
      </c>
      <c r="M757" t="str">
        <f t="shared" si="12"/>
        <v>Middle Age</v>
      </c>
      <c r="N757" t="s">
        <v>20</v>
      </c>
    </row>
    <row r="758" spans="1:14" x14ac:dyDescent="0.3">
      <c r="A758">
        <v>27261</v>
      </c>
      <c r="B758" t="s">
        <v>37</v>
      </c>
      <c r="C758" t="s">
        <v>39</v>
      </c>
      <c r="D758" s="3">
        <v>40000</v>
      </c>
      <c r="E758">
        <v>1</v>
      </c>
      <c r="F758" t="s">
        <v>15</v>
      </c>
      <c r="G758" t="s">
        <v>16</v>
      </c>
      <c r="H758" t="s">
        <v>20</v>
      </c>
      <c r="I758">
        <v>1</v>
      </c>
      <c r="J758" t="s">
        <v>18</v>
      </c>
      <c r="K758" t="s">
        <v>35</v>
      </c>
      <c r="L758">
        <v>36</v>
      </c>
      <c r="M758" t="str">
        <f t="shared" si="12"/>
        <v>Middle Age</v>
      </c>
      <c r="N758" t="s">
        <v>17</v>
      </c>
    </row>
    <row r="759" spans="1:14" x14ac:dyDescent="0.3">
      <c r="A759">
        <v>18649</v>
      </c>
      <c r="B759" t="s">
        <v>40</v>
      </c>
      <c r="C759" t="s">
        <v>39</v>
      </c>
      <c r="D759" s="3">
        <v>30000</v>
      </c>
      <c r="E759">
        <v>1</v>
      </c>
      <c r="F759" t="s">
        <v>30</v>
      </c>
      <c r="G759" t="s">
        <v>22</v>
      </c>
      <c r="H759" t="s">
        <v>17</v>
      </c>
      <c r="I759">
        <v>2</v>
      </c>
      <c r="J759" t="s">
        <v>29</v>
      </c>
      <c r="K759" t="s">
        <v>35</v>
      </c>
      <c r="L759">
        <v>51</v>
      </c>
      <c r="M759" t="str">
        <f t="shared" si="12"/>
        <v>Middle Age</v>
      </c>
      <c r="N759" t="s">
        <v>17</v>
      </c>
    </row>
    <row r="760" spans="1:14" x14ac:dyDescent="0.3">
      <c r="A760">
        <v>21714</v>
      </c>
      <c r="B760" t="s">
        <v>40</v>
      </c>
      <c r="C760" t="s">
        <v>38</v>
      </c>
      <c r="D760" s="3">
        <v>80000</v>
      </c>
      <c r="E760">
        <v>5</v>
      </c>
      <c r="F760" t="s">
        <v>34</v>
      </c>
      <c r="G760" t="s">
        <v>16</v>
      </c>
      <c r="H760" t="s">
        <v>20</v>
      </c>
      <c r="I760">
        <v>0</v>
      </c>
      <c r="J760" t="s">
        <v>18</v>
      </c>
      <c r="K760" t="s">
        <v>35</v>
      </c>
      <c r="L760">
        <v>47</v>
      </c>
      <c r="M760" t="str">
        <f t="shared" si="12"/>
        <v>Middle Age</v>
      </c>
      <c r="N760" t="s">
        <v>20</v>
      </c>
    </row>
    <row r="761" spans="1:14" x14ac:dyDescent="0.3">
      <c r="A761">
        <v>23217</v>
      </c>
      <c r="B761" t="s">
        <v>40</v>
      </c>
      <c r="C761" t="s">
        <v>38</v>
      </c>
      <c r="D761" s="3">
        <v>60000</v>
      </c>
      <c r="E761">
        <v>3</v>
      </c>
      <c r="F761" t="s">
        <v>34</v>
      </c>
      <c r="G761" t="s">
        <v>23</v>
      </c>
      <c r="H761" t="s">
        <v>17</v>
      </c>
      <c r="I761">
        <v>0</v>
      </c>
      <c r="J761" t="s">
        <v>24</v>
      </c>
      <c r="K761" t="s">
        <v>35</v>
      </c>
      <c r="L761">
        <v>43</v>
      </c>
      <c r="M761" t="str">
        <f t="shared" si="12"/>
        <v>Middle Age</v>
      </c>
      <c r="N761" t="s">
        <v>17</v>
      </c>
    </row>
    <row r="762" spans="1:14" x14ac:dyDescent="0.3">
      <c r="A762">
        <v>23797</v>
      </c>
      <c r="B762" t="s">
        <v>40</v>
      </c>
      <c r="C762" t="s">
        <v>39</v>
      </c>
      <c r="D762" s="3">
        <v>20000</v>
      </c>
      <c r="E762">
        <v>3</v>
      </c>
      <c r="F762" t="s">
        <v>32</v>
      </c>
      <c r="G762" t="s">
        <v>22</v>
      </c>
      <c r="H762" t="s">
        <v>20</v>
      </c>
      <c r="I762">
        <v>2</v>
      </c>
      <c r="J762" t="s">
        <v>18</v>
      </c>
      <c r="K762" t="s">
        <v>35</v>
      </c>
      <c r="L762">
        <v>50</v>
      </c>
      <c r="M762" t="str">
        <f t="shared" si="12"/>
        <v>Middle Age</v>
      </c>
      <c r="N762" t="s">
        <v>20</v>
      </c>
    </row>
    <row r="763" spans="1:14" x14ac:dyDescent="0.3">
      <c r="A763">
        <v>13216</v>
      </c>
      <c r="B763" t="s">
        <v>37</v>
      </c>
      <c r="C763" t="s">
        <v>38</v>
      </c>
      <c r="D763" s="3">
        <v>60000</v>
      </c>
      <c r="E763">
        <v>5</v>
      </c>
      <c r="F763" t="s">
        <v>15</v>
      </c>
      <c r="G763" t="s">
        <v>31</v>
      </c>
      <c r="H763" t="s">
        <v>17</v>
      </c>
      <c r="I763">
        <v>3</v>
      </c>
      <c r="J763" t="s">
        <v>41</v>
      </c>
      <c r="K763" t="s">
        <v>35</v>
      </c>
      <c r="L763">
        <v>59</v>
      </c>
      <c r="M763" t="str">
        <f t="shared" si="12"/>
        <v>Old</v>
      </c>
      <c r="N763" t="s">
        <v>20</v>
      </c>
    </row>
    <row r="764" spans="1:14" x14ac:dyDescent="0.3">
      <c r="A764">
        <v>20657</v>
      </c>
      <c r="B764" t="s">
        <v>40</v>
      </c>
      <c r="C764" t="s">
        <v>39</v>
      </c>
      <c r="D764" s="3">
        <v>50000</v>
      </c>
      <c r="E764">
        <v>2</v>
      </c>
      <c r="F764" t="s">
        <v>15</v>
      </c>
      <c r="G764" t="s">
        <v>16</v>
      </c>
      <c r="H764" t="s">
        <v>17</v>
      </c>
      <c r="I764">
        <v>0</v>
      </c>
      <c r="J764" t="s">
        <v>24</v>
      </c>
      <c r="K764" t="s">
        <v>35</v>
      </c>
      <c r="L764">
        <v>37</v>
      </c>
      <c r="M764" t="str">
        <f t="shared" si="12"/>
        <v>Middle Age</v>
      </c>
      <c r="N764" t="s">
        <v>17</v>
      </c>
    </row>
    <row r="765" spans="1:14" x14ac:dyDescent="0.3">
      <c r="A765">
        <v>12882</v>
      </c>
      <c r="B765" t="s">
        <v>37</v>
      </c>
      <c r="C765" t="s">
        <v>39</v>
      </c>
      <c r="D765" s="3">
        <v>50000</v>
      </c>
      <c r="E765">
        <v>1</v>
      </c>
      <c r="F765" t="s">
        <v>34</v>
      </c>
      <c r="G765" t="s">
        <v>16</v>
      </c>
      <c r="H765" t="s">
        <v>17</v>
      </c>
      <c r="I765">
        <v>0</v>
      </c>
      <c r="J765" t="s">
        <v>18</v>
      </c>
      <c r="K765" t="s">
        <v>35</v>
      </c>
      <c r="L765">
        <v>33</v>
      </c>
      <c r="M765" t="str">
        <f t="shared" si="12"/>
        <v>Middle Age</v>
      </c>
      <c r="N765" t="s">
        <v>17</v>
      </c>
    </row>
    <row r="766" spans="1:14" x14ac:dyDescent="0.3">
      <c r="A766">
        <v>25908</v>
      </c>
      <c r="B766" t="s">
        <v>37</v>
      </c>
      <c r="C766" t="s">
        <v>38</v>
      </c>
      <c r="D766" s="3">
        <v>60000</v>
      </c>
      <c r="E766">
        <v>0</v>
      </c>
      <c r="F766" t="s">
        <v>21</v>
      </c>
      <c r="G766" t="s">
        <v>16</v>
      </c>
      <c r="H766" t="s">
        <v>20</v>
      </c>
      <c r="I766">
        <v>1</v>
      </c>
      <c r="J766" t="s">
        <v>29</v>
      </c>
      <c r="K766" t="s">
        <v>35</v>
      </c>
      <c r="L766">
        <v>27</v>
      </c>
      <c r="M766" t="str">
        <f t="shared" si="12"/>
        <v>Adolescent</v>
      </c>
      <c r="N766" t="s">
        <v>20</v>
      </c>
    </row>
    <row r="767" spans="1:14" x14ac:dyDescent="0.3">
      <c r="A767">
        <v>16753</v>
      </c>
      <c r="B767" t="s">
        <v>40</v>
      </c>
      <c r="C767" t="s">
        <v>38</v>
      </c>
      <c r="D767" s="3">
        <v>70000</v>
      </c>
      <c r="E767">
        <v>0</v>
      </c>
      <c r="F767" t="s">
        <v>21</v>
      </c>
      <c r="G767" t="s">
        <v>16</v>
      </c>
      <c r="H767" t="s">
        <v>17</v>
      </c>
      <c r="I767">
        <v>2</v>
      </c>
      <c r="J767" t="s">
        <v>26</v>
      </c>
      <c r="K767" t="s">
        <v>35</v>
      </c>
      <c r="L767">
        <v>34</v>
      </c>
      <c r="M767" t="str">
        <f t="shared" si="12"/>
        <v>Middle Age</v>
      </c>
      <c r="N767" t="s">
        <v>17</v>
      </c>
    </row>
    <row r="768" spans="1:14" x14ac:dyDescent="0.3">
      <c r="A768">
        <v>14608</v>
      </c>
      <c r="B768" t="s">
        <v>37</v>
      </c>
      <c r="C768" t="s">
        <v>39</v>
      </c>
      <c r="D768" s="3">
        <v>50000</v>
      </c>
      <c r="E768">
        <v>4</v>
      </c>
      <c r="F768" t="s">
        <v>15</v>
      </c>
      <c r="G768" t="s">
        <v>16</v>
      </c>
      <c r="H768" t="s">
        <v>17</v>
      </c>
      <c r="I768">
        <v>3</v>
      </c>
      <c r="J768" t="s">
        <v>41</v>
      </c>
      <c r="K768" t="s">
        <v>35</v>
      </c>
      <c r="L768">
        <v>42</v>
      </c>
      <c r="M768" t="str">
        <f t="shared" si="12"/>
        <v>Middle Age</v>
      </c>
      <c r="N768" t="s">
        <v>20</v>
      </c>
    </row>
    <row r="769" spans="1:14" x14ac:dyDescent="0.3">
      <c r="A769">
        <v>24979</v>
      </c>
      <c r="B769" t="s">
        <v>37</v>
      </c>
      <c r="C769" t="s">
        <v>38</v>
      </c>
      <c r="D769" s="3">
        <v>60000</v>
      </c>
      <c r="E769">
        <v>2</v>
      </c>
      <c r="F769" t="s">
        <v>21</v>
      </c>
      <c r="G769" t="s">
        <v>23</v>
      </c>
      <c r="H769" t="s">
        <v>17</v>
      </c>
      <c r="I769">
        <v>2</v>
      </c>
      <c r="J769" t="s">
        <v>24</v>
      </c>
      <c r="K769" t="s">
        <v>35</v>
      </c>
      <c r="L769">
        <v>57</v>
      </c>
      <c r="M769" t="str">
        <f t="shared" si="12"/>
        <v>Old</v>
      </c>
      <c r="N769" t="s">
        <v>17</v>
      </c>
    </row>
    <row r="770" spans="1:14" x14ac:dyDescent="0.3">
      <c r="A770">
        <v>13313</v>
      </c>
      <c r="B770" t="s">
        <v>37</v>
      </c>
      <c r="C770" t="s">
        <v>38</v>
      </c>
      <c r="D770" s="3">
        <v>120000</v>
      </c>
      <c r="E770">
        <v>1</v>
      </c>
      <c r="F770" t="s">
        <v>30</v>
      </c>
      <c r="G770" t="s">
        <v>23</v>
      </c>
      <c r="H770" t="s">
        <v>20</v>
      </c>
      <c r="I770">
        <v>4</v>
      </c>
      <c r="J770" t="s">
        <v>24</v>
      </c>
      <c r="K770" t="s">
        <v>35</v>
      </c>
      <c r="L770">
        <v>45</v>
      </c>
      <c r="M770" t="str">
        <f t="shared" si="12"/>
        <v>Middle Age</v>
      </c>
      <c r="N770" t="s">
        <v>20</v>
      </c>
    </row>
    <row r="771" spans="1:14" x14ac:dyDescent="0.3">
      <c r="A771">
        <v>18952</v>
      </c>
      <c r="B771" t="s">
        <v>37</v>
      </c>
      <c r="C771" t="s">
        <v>38</v>
      </c>
      <c r="D771" s="3">
        <v>100000</v>
      </c>
      <c r="E771">
        <v>4</v>
      </c>
      <c r="F771" t="s">
        <v>15</v>
      </c>
      <c r="G771" t="s">
        <v>31</v>
      </c>
      <c r="H771" t="s">
        <v>17</v>
      </c>
      <c r="I771">
        <v>4</v>
      </c>
      <c r="J771" t="s">
        <v>18</v>
      </c>
      <c r="K771" t="s">
        <v>35</v>
      </c>
      <c r="L771">
        <v>40</v>
      </c>
      <c r="M771" t="str">
        <f t="shared" ref="M771:M834" si="13">IF(L771&gt;54, "Old", IF(L771&gt;31,"Middle Age",IF(L771&lt;31,"Adolescent","Invalid")))</f>
        <v>Middle Age</v>
      </c>
      <c r="N771" t="s">
        <v>20</v>
      </c>
    </row>
    <row r="772" spans="1:14" x14ac:dyDescent="0.3">
      <c r="A772">
        <v>17699</v>
      </c>
      <c r="B772" t="s">
        <v>37</v>
      </c>
      <c r="C772" t="s">
        <v>39</v>
      </c>
      <c r="D772" s="3">
        <v>60000</v>
      </c>
      <c r="E772">
        <v>1</v>
      </c>
      <c r="F772" t="s">
        <v>34</v>
      </c>
      <c r="G772" t="s">
        <v>16</v>
      </c>
      <c r="H772" t="s">
        <v>20</v>
      </c>
      <c r="I772">
        <v>0</v>
      </c>
      <c r="J772" t="s">
        <v>18</v>
      </c>
      <c r="K772" t="s">
        <v>35</v>
      </c>
      <c r="L772">
        <v>55</v>
      </c>
      <c r="M772" t="str">
        <f t="shared" si="13"/>
        <v>Old</v>
      </c>
      <c r="N772" t="s">
        <v>20</v>
      </c>
    </row>
    <row r="773" spans="1:14" x14ac:dyDescent="0.3">
      <c r="A773">
        <v>14657</v>
      </c>
      <c r="B773" t="s">
        <v>37</v>
      </c>
      <c r="C773" t="s">
        <v>39</v>
      </c>
      <c r="D773" s="3">
        <v>80000</v>
      </c>
      <c r="E773">
        <v>1</v>
      </c>
      <c r="F773" t="s">
        <v>21</v>
      </c>
      <c r="G773" t="s">
        <v>16</v>
      </c>
      <c r="H773" t="s">
        <v>20</v>
      </c>
      <c r="I773">
        <v>1</v>
      </c>
      <c r="J773" t="s">
        <v>18</v>
      </c>
      <c r="K773" t="s">
        <v>35</v>
      </c>
      <c r="L773">
        <v>47</v>
      </c>
      <c r="M773" t="str">
        <f t="shared" si="13"/>
        <v>Middle Age</v>
      </c>
      <c r="N773" t="s">
        <v>17</v>
      </c>
    </row>
    <row r="774" spans="1:14" x14ac:dyDescent="0.3">
      <c r="A774">
        <v>11540</v>
      </c>
      <c r="B774" t="s">
        <v>40</v>
      </c>
      <c r="C774" t="s">
        <v>39</v>
      </c>
      <c r="D774" s="3">
        <v>60000</v>
      </c>
      <c r="E774">
        <v>4</v>
      </c>
      <c r="F774" t="s">
        <v>34</v>
      </c>
      <c r="G774" t="s">
        <v>16</v>
      </c>
      <c r="H774" t="s">
        <v>17</v>
      </c>
      <c r="I774">
        <v>0</v>
      </c>
      <c r="J774" t="s">
        <v>29</v>
      </c>
      <c r="K774" t="s">
        <v>35</v>
      </c>
      <c r="L774">
        <v>47</v>
      </c>
      <c r="M774" t="str">
        <f t="shared" si="13"/>
        <v>Middle Age</v>
      </c>
      <c r="N774" t="s">
        <v>17</v>
      </c>
    </row>
    <row r="775" spans="1:14" x14ac:dyDescent="0.3">
      <c r="A775">
        <v>11783</v>
      </c>
      <c r="B775" t="s">
        <v>37</v>
      </c>
      <c r="C775" t="s">
        <v>38</v>
      </c>
      <c r="D775" s="3">
        <v>60000</v>
      </c>
      <c r="E775">
        <v>1</v>
      </c>
      <c r="F775" t="s">
        <v>34</v>
      </c>
      <c r="G775" t="s">
        <v>16</v>
      </c>
      <c r="H775" t="s">
        <v>17</v>
      </c>
      <c r="I775">
        <v>0</v>
      </c>
      <c r="J775" t="s">
        <v>18</v>
      </c>
      <c r="K775" t="s">
        <v>35</v>
      </c>
      <c r="L775">
        <v>34</v>
      </c>
      <c r="M775" t="str">
        <f t="shared" si="13"/>
        <v>Middle Age</v>
      </c>
      <c r="N775" t="s">
        <v>20</v>
      </c>
    </row>
    <row r="776" spans="1:14" x14ac:dyDescent="0.3">
      <c r="A776">
        <v>14602</v>
      </c>
      <c r="B776" t="s">
        <v>37</v>
      </c>
      <c r="C776" t="s">
        <v>38</v>
      </c>
      <c r="D776" s="3">
        <v>80000</v>
      </c>
      <c r="E776">
        <v>3</v>
      </c>
      <c r="F776" t="s">
        <v>34</v>
      </c>
      <c r="G776" t="s">
        <v>23</v>
      </c>
      <c r="H776" t="s">
        <v>17</v>
      </c>
      <c r="I776">
        <v>0</v>
      </c>
      <c r="J776" t="s">
        <v>18</v>
      </c>
      <c r="K776" t="s">
        <v>35</v>
      </c>
      <c r="L776">
        <v>36</v>
      </c>
      <c r="M776" t="str">
        <f t="shared" si="13"/>
        <v>Middle Age</v>
      </c>
      <c r="N776" t="s">
        <v>17</v>
      </c>
    </row>
    <row r="777" spans="1:14" x14ac:dyDescent="0.3">
      <c r="A777">
        <v>29030</v>
      </c>
      <c r="B777" t="s">
        <v>37</v>
      </c>
      <c r="C777" t="s">
        <v>39</v>
      </c>
      <c r="D777" s="3">
        <v>70000</v>
      </c>
      <c r="E777">
        <v>2</v>
      </c>
      <c r="F777" t="s">
        <v>32</v>
      </c>
      <c r="G777" t="s">
        <v>16</v>
      </c>
      <c r="H777" t="s">
        <v>17</v>
      </c>
      <c r="I777">
        <v>2</v>
      </c>
      <c r="J777" t="s">
        <v>41</v>
      </c>
      <c r="K777" t="s">
        <v>35</v>
      </c>
      <c r="L777">
        <v>54</v>
      </c>
      <c r="M777" t="str">
        <f t="shared" si="13"/>
        <v>Middle Age</v>
      </c>
      <c r="N777" t="s">
        <v>20</v>
      </c>
    </row>
    <row r="778" spans="1:14" x14ac:dyDescent="0.3">
      <c r="A778">
        <v>26490</v>
      </c>
      <c r="B778" t="s">
        <v>40</v>
      </c>
      <c r="C778" t="s">
        <v>39</v>
      </c>
      <c r="D778" s="3">
        <v>70000</v>
      </c>
      <c r="E778">
        <v>2</v>
      </c>
      <c r="F778" t="s">
        <v>15</v>
      </c>
      <c r="G778" t="s">
        <v>31</v>
      </c>
      <c r="H778" t="s">
        <v>20</v>
      </c>
      <c r="I778">
        <v>1</v>
      </c>
      <c r="J778" t="s">
        <v>24</v>
      </c>
      <c r="K778" t="s">
        <v>35</v>
      </c>
      <c r="L778">
        <v>59</v>
      </c>
      <c r="M778" t="str">
        <f t="shared" si="13"/>
        <v>Old</v>
      </c>
      <c r="N778" t="s">
        <v>17</v>
      </c>
    </row>
    <row r="779" spans="1:14" x14ac:dyDescent="0.3">
      <c r="A779">
        <v>13151</v>
      </c>
      <c r="B779" t="s">
        <v>40</v>
      </c>
      <c r="C779" t="s">
        <v>39</v>
      </c>
      <c r="D779" s="3">
        <v>40000</v>
      </c>
      <c r="E779">
        <v>0</v>
      </c>
      <c r="F779" t="s">
        <v>30</v>
      </c>
      <c r="G779" t="s">
        <v>16</v>
      </c>
      <c r="H779" t="s">
        <v>17</v>
      </c>
      <c r="I779">
        <v>2</v>
      </c>
      <c r="J779" t="s">
        <v>26</v>
      </c>
      <c r="K779" t="s">
        <v>35</v>
      </c>
      <c r="L779">
        <v>27</v>
      </c>
      <c r="M779" t="str">
        <f t="shared" si="13"/>
        <v>Adolescent</v>
      </c>
      <c r="N779" t="s">
        <v>20</v>
      </c>
    </row>
    <row r="780" spans="1:14" x14ac:dyDescent="0.3">
      <c r="A780">
        <v>17260</v>
      </c>
      <c r="B780" t="s">
        <v>37</v>
      </c>
      <c r="C780" t="s">
        <v>39</v>
      </c>
      <c r="D780" s="3">
        <v>90000</v>
      </c>
      <c r="E780">
        <v>5</v>
      </c>
      <c r="F780" t="s">
        <v>21</v>
      </c>
      <c r="G780" t="s">
        <v>23</v>
      </c>
      <c r="H780" t="s">
        <v>17</v>
      </c>
      <c r="I780">
        <v>3</v>
      </c>
      <c r="J780" t="s">
        <v>18</v>
      </c>
      <c r="K780" t="s">
        <v>35</v>
      </c>
      <c r="L780">
        <v>41</v>
      </c>
      <c r="M780" t="str">
        <f t="shared" si="13"/>
        <v>Middle Age</v>
      </c>
      <c r="N780" t="s">
        <v>20</v>
      </c>
    </row>
    <row r="781" spans="1:14" x14ac:dyDescent="0.3">
      <c r="A781">
        <v>15372</v>
      </c>
      <c r="B781" t="s">
        <v>37</v>
      </c>
      <c r="C781" t="s">
        <v>39</v>
      </c>
      <c r="D781" s="3">
        <v>80000</v>
      </c>
      <c r="E781">
        <v>3</v>
      </c>
      <c r="F781" t="s">
        <v>21</v>
      </c>
      <c r="G781" t="s">
        <v>23</v>
      </c>
      <c r="H781" t="s">
        <v>20</v>
      </c>
      <c r="I781">
        <v>2</v>
      </c>
      <c r="J781" t="s">
        <v>24</v>
      </c>
      <c r="K781" t="s">
        <v>35</v>
      </c>
      <c r="L781">
        <v>50</v>
      </c>
      <c r="M781" t="str">
        <f t="shared" si="13"/>
        <v>Middle Age</v>
      </c>
      <c r="N781" t="s">
        <v>17</v>
      </c>
    </row>
    <row r="782" spans="1:14" x14ac:dyDescent="0.3">
      <c r="A782">
        <v>18105</v>
      </c>
      <c r="B782" t="s">
        <v>37</v>
      </c>
      <c r="C782" t="s">
        <v>38</v>
      </c>
      <c r="D782" s="3">
        <v>60000</v>
      </c>
      <c r="E782">
        <v>2</v>
      </c>
      <c r="F782" t="s">
        <v>21</v>
      </c>
      <c r="G782" t="s">
        <v>23</v>
      </c>
      <c r="H782" t="s">
        <v>17</v>
      </c>
      <c r="I782">
        <v>1</v>
      </c>
      <c r="J782" t="s">
        <v>41</v>
      </c>
      <c r="K782" t="s">
        <v>35</v>
      </c>
      <c r="L782">
        <v>55</v>
      </c>
      <c r="M782" t="str">
        <f t="shared" si="13"/>
        <v>Old</v>
      </c>
      <c r="N782" t="s">
        <v>20</v>
      </c>
    </row>
    <row r="783" spans="1:14" x14ac:dyDescent="0.3">
      <c r="A783">
        <v>19660</v>
      </c>
      <c r="B783" t="s">
        <v>37</v>
      </c>
      <c r="C783" t="s">
        <v>39</v>
      </c>
      <c r="D783" s="3">
        <v>80000</v>
      </c>
      <c r="E783">
        <v>4</v>
      </c>
      <c r="F783" t="s">
        <v>15</v>
      </c>
      <c r="G783" t="s">
        <v>31</v>
      </c>
      <c r="H783" t="s">
        <v>17</v>
      </c>
      <c r="I783">
        <v>0</v>
      </c>
      <c r="J783" t="s">
        <v>18</v>
      </c>
      <c r="K783" t="s">
        <v>35</v>
      </c>
      <c r="L783">
        <v>43</v>
      </c>
      <c r="M783" t="str">
        <f t="shared" si="13"/>
        <v>Middle Age</v>
      </c>
      <c r="N783" t="s">
        <v>20</v>
      </c>
    </row>
    <row r="784" spans="1:14" x14ac:dyDescent="0.3">
      <c r="A784">
        <v>16112</v>
      </c>
      <c r="B784" t="s">
        <v>40</v>
      </c>
      <c r="C784" t="s">
        <v>39</v>
      </c>
      <c r="D784" s="3">
        <v>70000</v>
      </c>
      <c r="E784">
        <v>4</v>
      </c>
      <c r="F784" t="s">
        <v>15</v>
      </c>
      <c r="G784" t="s">
        <v>23</v>
      </c>
      <c r="H784" t="s">
        <v>17</v>
      </c>
      <c r="I784">
        <v>2</v>
      </c>
      <c r="J784" t="s">
        <v>24</v>
      </c>
      <c r="K784" t="s">
        <v>35</v>
      </c>
      <c r="L784">
        <v>43</v>
      </c>
      <c r="M784" t="str">
        <f t="shared" si="13"/>
        <v>Middle Age</v>
      </c>
      <c r="N784" t="s">
        <v>17</v>
      </c>
    </row>
    <row r="785" spans="1:14" x14ac:dyDescent="0.3">
      <c r="A785">
        <v>20698</v>
      </c>
      <c r="B785" t="s">
        <v>37</v>
      </c>
      <c r="C785" t="s">
        <v>39</v>
      </c>
      <c r="D785" s="3">
        <v>60000</v>
      </c>
      <c r="E785">
        <v>4</v>
      </c>
      <c r="F785" t="s">
        <v>15</v>
      </c>
      <c r="G785" t="s">
        <v>16</v>
      </c>
      <c r="H785" t="s">
        <v>17</v>
      </c>
      <c r="I785">
        <v>3</v>
      </c>
      <c r="J785" t="s">
        <v>26</v>
      </c>
      <c r="K785" t="s">
        <v>35</v>
      </c>
      <c r="L785">
        <v>42</v>
      </c>
      <c r="M785" t="str">
        <f t="shared" si="13"/>
        <v>Middle Age</v>
      </c>
      <c r="N785" t="s">
        <v>20</v>
      </c>
    </row>
    <row r="786" spans="1:14" x14ac:dyDescent="0.3">
      <c r="A786">
        <v>20076</v>
      </c>
      <c r="B786" t="s">
        <v>40</v>
      </c>
      <c r="C786" t="s">
        <v>38</v>
      </c>
      <c r="D786" s="3">
        <v>10000</v>
      </c>
      <c r="E786">
        <v>2</v>
      </c>
      <c r="F786" t="s">
        <v>30</v>
      </c>
      <c r="G786" t="s">
        <v>28</v>
      </c>
      <c r="H786" t="s">
        <v>17</v>
      </c>
      <c r="I786">
        <v>2</v>
      </c>
      <c r="J786" t="s">
        <v>29</v>
      </c>
      <c r="K786" t="s">
        <v>35</v>
      </c>
      <c r="L786">
        <v>53</v>
      </c>
      <c r="M786" t="str">
        <f t="shared" si="13"/>
        <v>Middle Age</v>
      </c>
      <c r="N786" t="s">
        <v>17</v>
      </c>
    </row>
    <row r="787" spans="1:14" x14ac:dyDescent="0.3">
      <c r="A787">
        <v>24496</v>
      </c>
      <c r="B787" t="s">
        <v>40</v>
      </c>
      <c r="C787" t="s">
        <v>38</v>
      </c>
      <c r="D787" s="3">
        <v>40000</v>
      </c>
      <c r="E787">
        <v>0</v>
      </c>
      <c r="F787" t="s">
        <v>30</v>
      </c>
      <c r="G787" t="s">
        <v>16</v>
      </c>
      <c r="H787" t="s">
        <v>20</v>
      </c>
      <c r="I787">
        <v>2</v>
      </c>
      <c r="J787" t="s">
        <v>18</v>
      </c>
      <c r="K787" t="s">
        <v>35</v>
      </c>
      <c r="L787">
        <v>28</v>
      </c>
      <c r="M787" t="str">
        <f t="shared" si="13"/>
        <v>Adolescent</v>
      </c>
      <c r="N787" t="s">
        <v>17</v>
      </c>
    </row>
    <row r="788" spans="1:14" x14ac:dyDescent="0.3">
      <c r="A788">
        <v>15468</v>
      </c>
      <c r="B788" t="s">
        <v>37</v>
      </c>
      <c r="C788" t="s">
        <v>38</v>
      </c>
      <c r="D788" s="3">
        <v>50000</v>
      </c>
      <c r="E788">
        <v>1</v>
      </c>
      <c r="F788" t="s">
        <v>15</v>
      </c>
      <c r="G788" t="s">
        <v>16</v>
      </c>
      <c r="H788" t="s">
        <v>17</v>
      </c>
      <c r="I788">
        <v>1</v>
      </c>
      <c r="J788" t="s">
        <v>18</v>
      </c>
      <c r="K788" t="s">
        <v>35</v>
      </c>
      <c r="L788">
        <v>35</v>
      </c>
      <c r="M788" t="str">
        <f t="shared" si="13"/>
        <v>Middle Age</v>
      </c>
      <c r="N788" t="s">
        <v>20</v>
      </c>
    </row>
    <row r="789" spans="1:14" x14ac:dyDescent="0.3">
      <c r="A789">
        <v>28031</v>
      </c>
      <c r="B789" t="s">
        <v>40</v>
      </c>
      <c r="C789" t="s">
        <v>38</v>
      </c>
      <c r="D789" s="3">
        <v>70000</v>
      </c>
      <c r="E789">
        <v>2</v>
      </c>
      <c r="F789" t="s">
        <v>15</v>
      </c>
      <c r="G789" t="s">
        <v>31</v>
      </c>
      <c r="H789" t="s">
        <v>20</v>
      </c>
      <c r="I789">
        <v>1</v>
      </c>
      <c r="J789" t="s">
        <v>24</v>
      </c>
      <c r="K789" t="s">
        <v>35</v>
      </c>
      <c r="L789">
        <v>59</v>
      </c>
      <c r="M789" t="str">
        <f t="shared" si="13"/>
        <v>Old</v>
      </c>
      <c r="N789" t="s">
        <v>17</v>
      </c>
    </row>
    <row r="790" spans="1:14" x14ac:dyDescent="0.3">
      <c r="A790">
        <v>26270</v>
      </c>
      <c r="B790" t="s">
        <v>40</v>
      </c>
      <c r="C790" t="s">
        <v>38</v>
      </c>
      <c r="D790" s="3">
        <v>20000</v>
      </c>
      <c r="E790">
        <v>2</v>
      </c>
      <c r="F790" t="s">
        <v>32</v>
      </c>
      <c r="G790" t="s">
        <v>22</v>
      </c>
      <c r="H790" t="s">
        <v>17</v>
      </c>
      <c r="I790">
        <v>2</v>
      </c>
      <c r="J790" t="s">
        <v>29</v>
      </c>
      <c r="K790" t="s">
        <v>35</v>
      </c>
      <c r="L790">
        <v>49</v>
      </c>
      <c r="M790" t="str">
        <f t="shared" si="13"/>
        <v>Middle Age</v>
      </c>
      <c r="N790" t="s">
        <v>20</v>
      </c>
    </row>
    <row r="791" spans="1:14" x14ac:dyDescent="0.3">
      <c r="A791">
        <v>22221</v>
      </c>
      <c r="B791" t="s">
        <v>37</v>
      </c>
      <c r="C791" t="s">
        <v>39</v>
      </c>
      <c r="D791" s="3">
        <v>60000</v>
      </c>
      <c r="E791">
        <v>2</v>
      </c>
      <c r="F791" t="s">
        <v>30</v>
      </c>
      <c r="G791" t="s">
        <v>23</v>
      </c>
      <c r="H791" t="s">
        <v>20</v>
      </c>
      <c r="I791">
        <v>2</v>
      </c>
      <c r="J791" t="s">
        <v>29</v>
      </c>
      <c r="K791" t="s">
        <v>35</v>
      </c>
      <c r="L791">
        <v>48</v>
      </c>
      <c r="M791" t="str">
        <f t="shared" si="13"/>
        <v>Middle Age</v>
      </c>
      <c r="N791" t="s">
        <v>17</v>
      </c>
    </row>
    <row r="792" spans="1:14" x14ac:dyDescent="0.3">
      <c r="A792">
        <v>28228</v>
      </c>
      <c r="B792" t="s">
        <v>40</v>
      </c>
      <c r="C792" t="s">
        <v>38</v>
      </c>
      <c r="D792" s="3">
        <v>80000</v>
      </c>
      <c r="E792">
        <v>2</v>
      </c>
      <c r="F792" t="s">
        <v>32</v>
      </c>
      <c r="G792" t="s">
        <v>16</v>
      </c>
      <c r="H792" t="s">
        <v>20</v>
      </c>
      <c r="I792">
        <v>2</v>
      </c>
      <c r="J792" t="s">
        <v>29</v>
      </c>
      <c r="K792" t="s">
        <v>35</v>
      </c>
      <c r="L792">
        <v>50</v>
      </c>
      <c r="M792" t="str">
        <f t="shared" si="13"/>
        <v>Middle Age</v>
      </c>
      <c r="N792" t="s">
        <v>20</v>
      </c>
    </row>
    <row r="793" spans="1:14" x14ac:dyDescent="0.3">
      <c r="A793">
        <v>18363</v>
      </c>
      <c r="B793" t="s">
        <v>37</v>
      </c>
      <c r="C793" t="s">
        <v>39</v>
      </c>
      <c r="D793" s="3">
        <v>40000</v>
      </c>
      <c r="E793">
        <v>0</v>
      </c>
      <c r="F793" t="s">
        <v>30</v>
      </c>
      <c r="G793" t="s">
        <v>16</v>
      </c>
      <c r="H793" t="s">
        <v>17</v>
      </c>
      <c r="I793">
        <v>2</v>
      </c>
      <c r="J793" t="s">
        <v>26</v>
      </c>
      <c r="K793" t="s">
        <v>35</v>
      </c>
      <c r="L793">
        <v>28</v>
      </c>
      <c r="M793" t="str">
        <f t="shared" si="13"/>
        <v>Adolescent</v>
      </c>
      <c r="N793" t="s">
        <v>17</v>
      </c>
    </row>
    <row r="794" spans="1:14" x14ac:dyDescent="0.3">
      <c r="A794">
        <v>23256</v>
      </c>
      <c r="B794" t="s">
        <v>40</v>
      </c>
      <c r="C794" t="s">
        <v>39</v>
      </c>
      <c r="D794" s="3">
        <v>30000</v>
      </c>
      <c r="E794">
        <v>1</v>
      </c>
      <c r="F794" t="s">
        <v>30</v>
      </c>
      <c r="G794" t="s">
        <v>22</v>
      </c>
      <c r="H794" t="s">
        <v>20</v>
      </c>
      <c r="I794">
        <v>1</v>
      </c>
      <c r="J794" t="s">
        <v>26</v>
      </c>
      <c r="K794" t="s">
        <v>35</v>
      </c>
      <c r="L794">
        <v>52</v>
      </c>
      <c r="M794" t="str">
        <f t="shared" si="13"/>
        <v>Middle Age</v>
      </c>
      <c r="N794" t="s">
        <v>20</v>
      </c>
    </row>
    <row r="795" spans="1:14" x14ac:dyDescent="0.3">
      <c r="A795">
        <v>12768</v>
      </c>
      <c r="B795" t="s">
        <v>37</v>
      </c>
      <c r="C795" t="s">
        <v>39</v>
      </c>
      <c r="D795" s="3">
        <v>30000</v>
      </c>
      <c r="E795">
        <v>1</v>
      </c>
      <c r="F795" t="s">
        <v>30</v>
      </c>
      <c r="G795" t="s">
        <v>22</v>
      </c>
      <c r="H795" t="s">
        <v>17</v>
      </c>
      <c r="I795">
        <v>1</v>
      </c>
      <c r="J795" t="s">
        <v>24</v>
      </c>
      <c r="K795" t="s">
        <v>35</v>
      </c>
      <c r="L795">
        <v>52</v>
      </c>
      <c r="M795" t="str">
        <f t="shared" si="13"/>
        <v>Middle Age</v>
      </c>
      <c r="N795" t="s">
        <v>17</v>
      </c>
    </row>
    <row r="796" spans="1:14" x14ac:dyDescent="0.3">
      <c r="A796">
        <v>20361</v>
      </c>
      <c r="B796" t="s">
        <v>37</v>
      </c>
      <c r="C796" t="s">
        <v>39</v>
      </c>
      <c r="D796" s="3">
        <v>50000</v>
      </c>
      <c r="E796">
        <v>2</v>
      </c>
      <c r="F796" t="s">
        <v>34</v>
      </c>
      <c r="G796" t="s">
        <v>31</v>
      </c>
      <c r="H796" t="s">
        <v>17</v>
      </c>
      <c r="I796">
        <v>2</v>
      </c>
      <c r="J796" t="s">
        <v>26</v>
      </c>
      <c r="K796" t="s">
        <v>35</v>
      </c>
      <c r="L796">
        <v>69</v>
      </c>
      <c r="M796" t="str">
        <f t="shared" si="13"/>
        <v>Old</v>
      </c>
      <c r="N796" t="s">
        <v>20</v>
      </c>
    </row>
    <row r="797" spans="1:14" x14ac:dyDescent="0.3">
      <c r="A797">
        <v>21306</v>
      </c>
      <c r="B797" t="s">
        <v>40</v>
      </c>
      <c r="C797" t="s">
        <v>39</v>
      </c>
      <c r="D797" s="3">
        <v>60000</v>
      </c>
      <c r="E797">
        <v>2</v>
      </c>
      <c r="F797" t="s">
        <v>30</v>
      </c>
      <c r="G797" t="s">
        <v>23</v>
      </c>
      <c r="H797" t="s">
        <v>17</v>
      </c>
      <c r="I797">
        <v>2</v>
      </c>
      <c r="J797" t="s">
        <v>26</v>
      </c>
      <c r="K797" t="s">
        <v>35</v>
      </c>
      <c r="L797">
        <v>51</v>
      </c>
      <c r="M797" t="str">
        <f t="shared" si="13"/>
        <v>Middle Age</v>
      </c>
      <c r="N797" t="s">
        <v>20</v>
      </c>
    </row>
    <row r="798" spans="1:14" x14ac:dyDescent="0.3">
      <c r="A798">
        <v>13382</v>
      </c>
      <c r="B798" t="s">
        <v>37</v>
      </c>
      <c r="C798" t="s">
        <v>39</v>
      </c>
      <c r="D798" s="3">
        <v>70000</v>
      </c>
      <c r="E798">
        <v>5</v>
      </c>
      <c r="F798" t="s">
        <v>21</v>
      </c>
      <c r="G798" t="s">
        <v>23</v>
      </c>
      <c r="H798" t="s">
        <v>17</v>
      </c>
      <c r="I798">
        <v>2</v>
      </c>
      <c r="J798" t="s">
        <v>29</v>
      </c>
      <c r="K798" t="s">
        <v>35</v>
      </c>
      <c r="L798">
        <v>57</v>
      </c>
      <c r="M798" t="str">
        <f t="shared" si="13"/>
        <v>Old</v>
      </c>
      <c r="N798" t="s">
        <v>17</v>
      </c>
    </row>
    <row r="799" spans="1:14" x14ac:dyDescent="0.3">
      <c r="A799">
        <v>20310</v>
      </c>
      <c r="B799" t="s">
        <v>40</v>
      </c>
      <c r="C799" t="s">
        <v>39</v>
      </c>
      <c r="D799" s="3">
        <v>60000</v>
      </c>
      <c r="E799">
        <v>0</v>
      </c>
      <c r="F799" t="s">
        <v>21</v>
      </c>
      <c r="G799" t="s">
        <v>16</v>
      </c>
      <c r="H799" t="s">
        <v>17</v>
      </c>
      <c r="I799">
        <v>1</v>
      </c>
      <c r="J799" t="s">
        <v>26</v>
      </c>
      <c r="K799" t="s">
        <v>35</v>
      </c>
      <c r="L799">
        <v>27</v>
      </c>
      <c r="M799" t="str">
        <f t="shared" si="13"/>
        <v>Adolescent</v>
      </c>
      <c r="N799" t="s">
        <v>17</v>
      </c>
    </row>
    <row r="800" spans="1:14" x14ac:dyDescent="0.3">
      <c r="A800">
        <v>22971</v>
      </c>
      <c r="B800" t="s">
        <v>40</v>
      </c>
      <c r="C800" t="s">
        <v>38</v>
      </c>
      <c r="D800" s="3">
        <v>30000</v>
      </c>
      <c r="E800">
        <v>0</v>
      </c>
      <c r="F800" t="s">
        <v>30</v>
      </c>
      <c r="G800" t="s">
        <v>16</v>
      </c>
      <c r="H800" t="s">
        <v>20</v>
      </c>
      <c r="I800">
        <v>2</v>
      </c>
      <c r="J800" t="s">
        <v>18</v>
      </c>
      <c r="K800" t="s">
        <v>35</v>
      </c>
      <c r="L800">
        <v>25</v>
      </c>
      <c r="M800" t="str">
        <f t="shared" si="13"/>
        <v>Adolescent</v>
      </c>
      <c r="N800" t="s">
        <v>17</v>
      </c>
    </row>
    <row r="801" spans="1:14" x14ac:dyDescent="0.3">
      <c r="A801">
        <v>15287</v>
      </c>
      <c r="B801" t="s">
        <v>40</v>
      </c>
      <c r="C801" t="s">
        <v>38</v>
      </c>
      <c r="D801" s="3">
        <v>50000</v>
      </c>
      <c r="E801">
        <v>1</v>
      </c>
      <c r="F801" t="s">
        <v>34</v>
      </c>
      <c r="G801" t="s">
        <v>16</v>
      </c>
      <c r="H801" t="s">
        <v>17</v>
      </c>
      <c r="I801">
        <v>0</v>
      </c>
      <c r="J801" t="s">
        <v>29</v>
      </c>
      <c r="K801" t="s">
        <v>35</v>
      </c>
      <c r="L801">
        <v>33</v>
      </c>
      <c r="M801" t="str">
        <f t="shared" si="13"/>
        <v>Middle Age</v>
      </c>
      <c r="N801" t="s">
        <v>17</v>
      </c>
    </row>
    <row r="802" spans="1:14" x14ac:dyDescent="0.3">
      <c r="A802">
        <v>15532</v>
      </c>
      <c r="B802" t="s">
        <v>40</v>
      </c>
      <c r="C802" t="s">
        <v>39</v>
      </c>
      <c r="D802" s="3">
        <v>60000</v>
      </c>
      <c r="E802">
        <v>4</v>
      </c>
      <c r="F802" t="s">
        <v>15</v>
      </c>
      <c r="G802" t="s">
        <v>23</v>
      </c>
      <c r="H802" t="s">
        <v>17</v>
      </c>
      <c r="I802">
        <v>2</v>
      </c>
      <c r="J802" t="s">
        <v>24</v>
      </c>
      <c r="K802" t="s">
        <v>35</v>
      </c>
      <c r="L802">
        <v>43</v>
      </c>
      <c r="M802" t="str">
        <f t="shared" si="13"/>
        <v>Middle Age</v>
      </c>
      <c r="N802" t="s">
        <v>17</v>
      </c>
    </row>
    <row r="803" spans="1:14" x14ac:dyDescent="0.3">
      <c r="A803">
        <v>11255</v>
      </c>
      <c r="B803" t="s">
        <v>37</v>
      </c>
      <c r="C803" t="s">
        <v>39</v>
      </c>
      <c r="D803" s="3">
        <v>70000</v>
      </c>
      <c r="E803">
        <v>4</v>
      </c>
      <c r="F803" t="s">
        <v>34</v>
      </c>
      <c r="G803" t="s">
        <v>31</v>
      </c>
      <c r="H803" t="s">
        <v>17</v>
      </c>
      <c r="I803">
        <v>2</v>
      </c>
      <c r="J803" t="s">
        <v>26</v>
      </c>
      <c r="K803" t="s">
        <v>35</v>
      </c>
      <c r="L803">
        <v>73</v>
      </c>
      <c r="M803" t="str">
        <f t="shared" si="13"/>
        <v>Old</v>
      </c>
      <c r="N803" t="s">
        <v>20</v>
      </c>
    </row>
    <row r="804" spans="1:14" x14ac:dyDescent="0.3">
      <c r="A804">
        <v>28090</v>
      </c>
      <c r="B804" t="s">
        <v>37</v>
      </c>
      <c r="C804" t="s">
        <v>39</v>
      </c>
      <c r="D804" s="3">
        <v>40000</v>
      </c>
      <c r="E804">
        <v>0</v>
      </c>
      <c r="F804" t="s">
        <v>21</v>
      </c>
      <c r="G804" t="s">
        <v>16</v>
      </c>
      <c r="H804" t="s">
        <v>17</v>
      </c>
      <c r="I804">
        <v>1</v>
      </c>
      <c r="J804" t="s">
        <v>26</v>
      </c>
      <c r="K804" t="s">
        <v>35</v>
      </c>
      <c r="L804">
        <v>27</v>
      </c>
      <c r="M804" t="str">
        <f t="shared" si="13"/>
        <v>Adolescent</v>
      </c>
      <c r="N804" t="s">
        <v>20</v>
      </c>
    </row>
    <row r="805" spans="1:14" x14ac:dyDescent="0.3">
      <c r="A805">
        <v>15255</v>
      </c>
      <c r="B805" t="s">
        <v>37</v>
      </c>
      <c r="C805" t="s">
        <v>39</v>
      </c>
      <c r="D805" s="3">
        <v>40000</v>
      </c>
      <c r="E805">
        <v>0</v>
      </c>
      <c r="F805" t="s">
        <v>30</v>
      </c>
      <c r="G805" t="s">
        <v>16</v>
      </c>
      <c r="H805" t="s">
        <v>17</v>
      </c>
      <c r="I805">
        <v>2</v>
      </c>
      <c r="J805" t="s">
        <v>26</v>
      </c>
      <c r="K805" t="s">
        <v>35</v>
      </c>
      <c r="L805">
        <v>28</v>
      </c>
      <c r="M805" t="str">
        <f t="shared" si="13"/>
        <v>Adolescent</v>
      </c>
      <c r="N805" t="s">
        <v>17</v>
      </c>
    </row>
    <row r="806" spans="1:14" x14ac:dyDescent="0.3">
      <c r="A806">
        <v>13154</v>
      </c>
      <c r="B806" t="s">
        <v>37</v>
      </c>
      <c r="C806" t="s">
        <v>39</v>
      </c>
      <c r="D806" s="3">
        <v>40000</v>
      </c>
      <c r="E806">
        <v>0</v>
      </c>
      <c r="F806" t="s">
        <v>30</v>
      </c>
      <c r="G806" t="s">
        <v>16</v>
      </c>
      <c r="H806" t="s">
        <v>20</v>
      </c>
      <c r="I806">
        <v>2</v>
      </c>
      <c r="J806" t="s">
        <v>18</v>
      </c>
      <c r="K806" t="s">
        <v>35</v>
      </c>
      <c r="L806">
        <v>27</v>
      </c>
      <c r="M806" t="str">
        <f t="shared" si="13"/>
        <v>Adolescent</v>
      </c>
      <c r="N806" t="s">
        <v>17</v>
      </c>
    </row>
    <row r="807" spans="1:14" x14ac:dyDescent="0.3">
      <c r="A807">
        <v>26778</v>
      </c>
      <c r="B807" t="s">
        <v>40</v>
      </c>
      <c r="C807" t="s">
        <v>38</v>
      </c>
      <c r="D807" s="3">
        <v>40000</v>
      </c>
      <c r="E807">
        <v>0</v>
      </c>
      <c r="F807" t="s">
        <v>30</v>
      </c>
      <c r="G807" t="s">
        <v>16</v>
      </c>
      <c r="H807" t="s">
        <v>17</v>
      </c>
      <c r="I807">
        <v>2</v>
      </c>
      <c r="J807" t="s">
        <v>26</v>
      </c>
      <c r="K807" t="s">
        <v>35</v>
      </c>
      <c r="L807">
        <v>31</v>
      </c>
      <c r="M807" t="str">
        <f>IF(L807&gt;54, "Old", IF(L807&gt;30,"Middle Age",IF(L807&lt;31,"Adolescent","Invalid")))</f>
        <v>Middle Age</v>
      </c>
      <c r="N807" t="s">
        <v>20</v>
      </c>
    </row>
    <row r="808" spans="1:14" x14ac:dyDescent="0.3">
      <c r="A808">
        <v>23248</v>
      </c>
      <c r="B808" t="s">
        <v>37</v>
      </c>
      <c r="C808" t="s">
        <v>38</v>
      </c>
      <c r="D808" s="3">
        <v>10000</v>
      </c>
      <c r="E808">
        <v>2</v>
      </c>
      <c r="F808" t="s">
        <v>30</v>
      </c>
      <c r="G808" t="s">
        <v>28</v>
      </c>
      <c r="H808" t="s">
        <v>17</v>
      </c>
      <c r="I808">
        <v>2</v>
      </c>
      <c r="J808" t="s">
        <v>29</v>
      </c>
      <c r="K808" t="s">
        <v>35</v>
      </c>
      <c r="L808">
        <v>53</v>
      </c>
      <c r="M808" t="str">
        <f t="shared" si="13"/>
        <v>Middle Age</v>
      </c>
      <c r="N808" t="s">
        <v>20</v>
      </c>
    </row>
    <row r="809" spans="1:14" x14ac:dyDescent="0.3">
      <c r="A809">
        <v>21417</v>
      </c>
      <c r="B809" t="s">
        <v>40</v>
      </c>
      <c r="C809" t="s">
        <v>38</v>
      </c>
      <c r="D809" s="3">
        <v>60000</v>
      </c>
      <c r="E809">
        <v>0</v>
      </c>
      <c r="F809" t="s">
        <v>21</v>
      </c>
      <c r="G809" t="s">
        <v>23</v>
      </c>
      <c r="H809" t="s">
        <v>20</v>
      </c>
      <c r="I809">
        <v>2</v>
      </c>
      <c r="J809" t="s">
        <v>29</v>
      </c>
      <c r="K809" t="s">
        <v>35</v>
      </c>
      <c r="L809">
        <v>32</v>
      </c>
      <c r="M809" t="str">
        <f t="shared" si="13"/>
        <v>Middle Age</v>
      </c>
      <c r="N809" t="s">
        <v>17</v>
      </c>
    </row>
    <row r="810" spans="1:14" x14ac:dyDescent="0.3">
      <c r="A810">
        <v>17668</v>
      </c>
      <c r="B810" t="s">
        <v>40</v>
      </c>
      <c r="C810" t="s">
        <v>39</v>
      </c>
      <c r="D810" s="3">
        <v>30000</v>
      </c>
      <c r="E810">
        <v>2</v>
      </c>
      <c r="F810" t="s">
        <v>30</v>
      </c>
      <c r="G810" t="s">
        <v>16</v>
      </c>
      <c r="H810" t="s">
        <v>17</v>
      </c>
      <c r="I810">
        <v>2</v>
      </c>
      <c r="J810" t="s">
        <v>29</v>
      </c>
      <c r="K810" t="s">
        <v>35</v>
      </c>
      <c r="L810">
        <v>50</v>
      </c>
      <c r="M810" t="str">
        <f t="shared" si="13"/>
        <v>Middle Age</v>
      </c>
      <c r="N810" t="s">
        <v>17</v>
      </c>
    </row>
    <row r="811" spans="1:14" x14ac:dyDescent="0.3">
      <c r="A811">
        <v>27994</v>
      </c>
      <c r="B811" t="s">
        <v>37</v>
      </c>
      <c r="C811" t="s">
        <v>38</v>
      </c>
      <c r="D811" s="3">
        <v>40000</v>
      </c>
      <c r="E811">
        <v>4</v>
      </c>
      <c r="F811" t="s">
        <v>30</v>
      </c>
      <c r="G811" t="s">
        <v>23</v>
      </c>
      <c r="H811" t="s">
        <v>17</v>
      </c>
      <c r="I811">
        <v>2</v>
      </c>
      <c r="J811" t="s">
        <v>26</v>
      </c>
      <c r="K811" t="s">
        <v>35</v>
      </c>
      <c r="L811">
        <v>69</v>
      </c>
      <c r="M811" t="str">
        <f t="shared" si="13"/>
        <v>Old</v>
      </c>
      <c r="N811" t="s">
        <v>20</v>
      </c>
    </row>
    <row r="812" spans="1:14" x14ac:dyDescent="0.3">
      <c r="A812">
        <v>20376</v>
      </c>
      <c r="B812" t="s">
        <v>40</v>
      </c>
      <c r="C812" t="s">
        <v>38</v>
      </c>
      <c r="D812" s="3">
        <v>70000</v>
      </c>
      <c r="E812">
        <v>3</v>
      </c>
      <c r="F812" t="s">
        <v>34</v>
      </c>
      <c r="G812" t="s">
        <v>31</v>
      </c>
      <c r="H812" t="s">
        <v>17</v>
      </c>
      <c r="I812">
        <v>2</v>
      </c>
      <c r="J812" t="s">
        <v>26</v>
      </c>
      <c r="K812" t="s">
        <v>35</v>
      </c>
      <c r="L812">
        <v>52</v>
      </c>
      <c r="M812" t="str">
        <f t="shared" si="13"/>
        <v>Middle Age</v>
      </c>
      <c r="N812" t="s">
        <v>17</v>
      </c>
    </row>
    <row r="813" spans="1:14" x14ac:dyDescent="0.3">
      <c r="A813">
        <v>25954</v>
      </c>
      <c r="B813" t="s">
        <v>37</v>
      </c>
      <c r="C813" t="s">
        <v>39</v>
      </c>
      <c r="D813" s="3">
        <v>60000</v>
      </c>
      <c r="E813">
        <v>0</v>
      </c>
      <c r="F813" t="s">
        <v>21</v>
      </c>
      <c r="G813" t="s">
        <v>16</v>
      </c>
      <c r="H813" t="s">
        <v>20</v>
      </c>
      <c r="I813">
        <v>2</v>
      </c>
      <c r="J813" t="s">
        <v>29</v>
      </c>
      <c r="K813" t="s">
        <v>35</v>
      </c>
      <c r="L813">
        <v>31</v>
      </c>
      <c r="M813" t="str">
        <f>IF(L813&gt;54, "Old", IF(L813&gt;30,"Middle Age",IF(L813&lt;31,"Adolescent","Invalid")))</f>
        <v>Middle Age</v>
      </c>
      <c r="N813" t="s">
        <v>20</v>
      </c>
    </row>
    <row r="814" spans="1:14" x14ac:dyDescent="0.3">
      <c r="A814">
        <v>15749</v>
      </c>
      <c r="B814" t="s">
        <v>40</v>
      </c>
      <c r="C814" t="s">
        <v>38</v>
      </c>
      <c r="D814" s="3">
        <v>70000</v>
      </c>
      <c r="E814">
        <v>4</v>
      </c>
      <c r="F814" t="s">
        <v>15</v>
      </c>
      <c r="G814" t="s">
        <v>31</v>
      </c>
      <c r="H814" t="s">
        <v>17</v>
      </c>
      <c r="I814">
        <v>2</v>
      </c>
      <c r="J814" t="s">
        <v>41</v>
      </c>
      <c r="K814" t="s">
        <v>35</v>
      </c>
      <c r="L814">
        <v>61</v>
      </c>
      <c r="M814" t="str">
        <f t="shared" si="13"/>
        <v>Old</v>
      </c>
      <c r="N814" t="s">
        <v>20</v>
      </c>
    </row>
    <row r="815" spans="1:14" x14ac:dyDescent="0.3">
      <c r="A815">
        <v>25899</v>
      </c>
      <c r="B815" t="s">
        <v>37</v>
      </c>
      <c r="C815" t="s">
        <v>38</v>
      </c>
      <c r="D815" s="3">
        <v>70000</v>
      </c>
      <c r="E815">
        <v>2</v>
      </c>
      <c r="F815" t="s">
        <v>30</v>
      </c>
      <c r="G815" t="s">
        <v>23</v>
      </c>
      <c r="H815" t="s">
        <v>17</v>
      </c>
      <c r="I815">
        <v>2</v>
      </c>
      <c r="J815" t="s">
        <v>41</v>
      </c>
      <c r="K815" t="s">
        <v>35</v>
      </c>
      <c r="L815">
        <v>53</v>
      </c>
      <c r="M815" t="str">
        <f t="shared" si="13"/>
        <v>Middle Age</v>
      </c>
      <c r="N815" t="s">
        <v>20</v>
      </c>
    </row>
    <row r="816" spans="1:14" x14ac:dyDescent="0.3">
      <c r="A816">
        <v>13351</v>
      </c>
      <c r="B816" t="s">
        <v>40</v>
      </c>
      <c r="C816" t="s">
        <v>38</v>
      </c>
      <c r="D816" s="3">
        <v>70000</v>
      </c>
      <c r="E816">
        <v>4</v>
      </c>
      <c r="F816" t="s">
        <v>15</v>
      </c>
      <c r="G816" t="s">
        <v>31</v>
      </c>
      <c r="H816" t="s">
        <v>17</v>
      </c>
      <c r="I816">
        <v>2</v>
      </c>
      <c r="J816" t="s">
        <v>29</v>
      </c>
      <c r="K816" t="s">
        <v>35</v>
      </c>
      <c r="L816">
        <v>62</v>
      </c>
      <c r="M816" t="str">
        <f t="shared" si="13"/>
        <v>Old</v>
      </c>
      <c r="N816" t="s">
        <v>17</v>
      </c>
    </row>
    <row r="817" spans="1:14" x14ac:dyDescent="0.3">
      <c r="A817">
        <v>23333</v>
      </c>
      <c r="B817" t="s">
        <v>37</v>
      </c>
      <c r="C817" t="s">
        <v>39</v>
      </c>
      <c r="D817" s="3">
        <v>40000</v>
      </c>
      <c r="E817">
        <v>0</v>
      </c>
      <c r="F817" t="s">
        <v>21</v>
      </c>
      <c r="G817" t="s">
        <v>16</v>
      </c>
      <c r="H817" t="s">
        <v>20</v>
      </c>
      <c r="I817">
        <v>2</v>
      </c>
      <c r="J817" t="s">
        <v>29</v>
      </c>
      <c r="K817" t="s">
        <v>35</v>
      </c>
      <c r="L817">
        <v>30</v>
      </c>
      <c r="M817" t="str">
        <f t="shared" si="13"/>
        <v>Adolescent</v>
      </c>
      <c r="N817" t="s">
        <v>20</v>
      </c>
    </row>
    <row r="818" spans="1:14" x14ac:dyDescent="0.3">
      <c r="A818">
        <v>21660</v>
      </c>
      <c r="B818" t="s">
        <v>37</v>
      </c>
      <c r="C818" t="s">
        <v>38</v>
      </c>
      <c r="D818" s="3">
        <v>60000</v>
      </c>
      <c r="E818">
        <v>3</v>
      </c>
      <c r="F818" t="s">
        <v>34</v>
      </c>
      <c r="G818" t="s">
        <v>23</v>
      </c>
      <c r="H818" t="s">
        <v>17</v>
      </c>
      <c r="I818">
        <v>0</v>
      </c>
      <c r="J818" t="s">
        <v>24</v>
      </c>
      <c r="K818" t="s">
        <v>35</v>
      </c>
      <c r="L818">
        <v>43</v>
      </c>
      <c r="M818" t="str">
        <f t="shared" si="13"/>
        <v>Middle Age</v>
      </c>
      <c r="N818" t="s">
        <v>17</v>
      </c>
    </row>
    <row r="819" spans="1:14" x14ac:dyDescent="0.3">
      <c r="A819">
        <v>17012</v>
      </c>
      <c r="B819" t="s">
        <v>37</v>
      </c>
      <c r="C819" t="s">
        <v>38</v>
      </c>
      <c r="D819" s="3">
        <v>60000</v>
      </c>
      <c r="E819">
        <v>3</v>
      </c>
      <c r="F819" t="s">
        <v>34</v>
      </c>
      <c r="G819" t="s">
        <v>23</v>
      </c>
      <c r="H819" t="s">
        <v>17</v>
      </c>
      <c r="I819">
        <v>0</v>
      </c>
      <c r="J819" t="s">
        <v>24</v>
      </c>
      <c r="K819" t="s">
        <v>35</v>
      </c>
      <c r="L819">
        <v>42</v>
      </c>
      <c r="M819" t="str">
        <f t="shared" si="13"/>
        <v>Middle Age</v>
      </c>
      <c r="N819" t="s">
        <v>17</v>
      </c>
    </row>
    <row r="820" spans="1:14" x14ac:dyDescent="0.3">
      <c r="A820">
        <v>24514</v>
      </c>
      <c r="B820" t="s">
        <v>37</v>
      </c>
      <c r="C820" t="s">
        <v>39</v>
      </c>
      <c r="D820" s="3">
        <v>40000</v>
      </c>
      <c r="E820">
        <v>0</v>
      </c>
      <c r="F820" t="s">
        <v>21</v>
      </c>
      <c r="G820" t="s">
        <v>16</v>
      </c>
      <c r="H820" t="s">
        <v>17</v>
      </c>
      <c r="I820">
        <v>1</v>
      </c>
      <c r="J820" t="s">
        <v>26</v>
      </c>
      <c r="K820" t="s">
        <v>35</v>
      </c>
      <c r="L820">
        <v>30</v>
      </c>
      <c r="M820" t="str">
        <f t="shared" si="13"/>
        <v>Adolescent</v>
      </c>
      <c r="N820" t="s">
        <v>20</v>
      </c>
    </row>
    <row r="821" spans="1:14" x14ac:dyDescent="0.3">
      <c r="A821">
        <v>27505</v>
      </c>
      <c r="B821" t="s">
        <v>40</v>
      </c>
      <c r="C821" t="s">
        <v>38</v>
      </c>
      <c r="D821" s="3">
        <v>40000</v>
      </c>
      <c r="E821">
        <v>0</v>
      </c>
      <c r="F821" t="s">
        <v>30</v>
      </c>
      <c r="G821" t="s">
        <v>16</v>
      </c>
      <c r="H821" t="s">
        <v>17</v>
      </c>
      <c r="I821">
        <v>2</v>
      </c>
      <c r="J821" t="s">
        <v>26</v>
      </c>
      <c r="K821" t="s">
        <v>35</v>
      </c>
      <c r="L821">
        <v>30</v>
      </c>
      <c r="M821" t="str">
        <f t="shared" si="13"/>
        <v>Adolescent</v>
      </c>
      <c r="N821" t="s">
        <v>20</v>
      </c>
    </row>
    <row r="822" spans="1:14" x14ac:dyDescent="0.3">
      <c r="A822">
        <v>29243</v>
      </c>
      <c r="B822" t="s">
        <v>40</v>
      </c>
      <c r="C822" t="s">
        <v>39</v>
      </c>
      <c r="D822" s="3">
        <v>110000</v>
      </c>
      <c r="E822">
        <v>1</v>
      </c>
      <c r="F822" t="s">
        <v>15</v>
      </c>
      <c r="G822" t="s">
        <v>31</v>
      </c>
      <c r="H822" t="s">
        <v>17</v>
      </c>
      <c r="I822">
        <v>1</v>
      </c>
      <c r="J822" t="s">
        <v>26</v>
      </c>
      <c r="K822" t="s">
        <v>35</v>
      </c>
      <c r="L822">
        <v>43</v>
      </c>
      <c r="M822" t="str">
        <f t="shared" si="13"/>
        <v>Middle Age</v>
      </c>
      <c r="N822" t="s">
        <v>20</v>
      </c>
    </row>
    <row r="823" spans="1:14" x14ac:dyDescent="0.3">
      <c r="A823">
        <v>26582</v>
      </c>
      <c r="B823" t="s">
        <v>37</v>
      </c>
      <c r="C823" t="s">
        <v>39</v>
      </c>
      <c r="D823" s="3">
        <v>60000</v>
      </c>
      <c r="E823">
        <v>0</v>
      </c>
      <c r="F823" t="s">
        <v>21</v>
      </c>
      <c r="G823" t="s">
        <v>16</v>
      </c>
      <c r="H823" t="s">
        <v>17</v>
      </c>
      <c r="I823">
        <v>2</v>
      </c>
      <c r="J823" t="s">
        <v>26</v>
      </c>
      <c r="K823" t="s">
        <v>35</v>
      </c>
      <c r="L823">
        <v>33</v>
      </c>
      <c r="M823" t="str">
        <f t="shared" si="13"/>
        <v>Middle Age</v>
      </c>
      <c r="N823" t="s">
        <v>17</v>
      </c>
    </row>
    <row r="824" spans="1:14" x14ac:dyDescent="0.3">
      <c r="A824">
        <v>14271</v>
      </c>
      <c r="B824" t="s">
        <v>37</v>
      </c>
      <c r="C824" t="s">
        <v>39</v>
      </c>
      <c r="D824" s="3">
        <v>30000</v>
      </c>
      <c r="E824">
        <v>0</v>
      </c>
      <c r="F824" t="s">
        <v>30</v>
      </c>
      <c r="G824" t="s">
        <v>16</v>
      </c>
      <c r="H824" t="s">
        <v>17</v>
      </c>
      <c r="I824">
        <v>2</v>
      </c>
      <c r="J824" t="s">
        <v>26</v>
      </c>
      <c r="K824" t="s">
        <v>35</v>
      </c>
      <c r="L824">
        <v>32</v>
      </c>
      <c r="M824" t="str">
        <f t="shared" si="13"/>
        <v>Middle Age</v>
      </c>
      <c r="N824" t="s">
        <v>20</v>
      </c>
    </row>
    <row r="825" spans="1:14" x14ac:dyDescent="0.3">
      <c r="A825">
        <v>23041</v>
      </c>
      <c r="B825" t="s">
        <v>40</v>
      </c>
      <c r="C825" t="s">
        <v>38</v>
      </c>
      <c r="D825" s="3">
        <v>70000</v>
      </c>
      <c r="E825">
        <v>4</v>
      </c>
      <c r="F825" t="s">
        <v>30</v>
      </c>
      <c r="G825" t="s">
        <v>23</v>
      </c>
      <c r="H825" t="s">
        <v>17</v>
      </c>
      <c r="I825">
        <v>0</v>
      </c>
      <c r="J825" t="s">
        <v>26</v>
      </c>
      <c r="K825" t="s">
        <v>35</v>
      </c>
      <c r="L825">
        <v>50</v>
      </c>
      <c r="M825" t="str">
        <f t="shared" si="13"/>
        <v>Middle Age</v>
      </c>
      <c r="N825" t="s">
        <v>17</v>
      </c>
    </row>
    <row r="826" spans="1:14" x14ac:dyDescent="0.3">
      <c r="A826">
        <v>29048</v>
      </c>
      <c r="B826" t="s">
        <v>40</v>
      </c>
      <c r="C826" t="s">
        <v>39</v>
      </c>
      <c r="D826" s="3">
        <v>110000</v>
      </c>
      <c r="E826">
        <v>2</v>
      </c>
      <c r="F826" t="s">
        <v>15</v>
      </c>
      <c r="G826" t="s">
        <v>31</v>
      </c>
      <c r="H826" t="s">
        <v>20</v>
      </c>
      <c r="I826">
        <v>3</v>
      </c>
      <c r="J826" t="s">
        <v>18</v>
      </c>
      <c r="K826" t="s">
        <v>35</v>
      </c>
      <c r="L826">
        <v>37</v>
      </c>
      <c r="M826" t="str">
        <f t="shared" si="13"/>
        <v>Middle Age</v>
      </c>
      <c r="N826" t="s">
        <v>17</v>
      </c>
    </row>
    <row r="827" spans="1:14" x14ac:dyDescent="0.3">
      <c r="A827">
        <v>24433</v>
      </c>
      <c r="B827" t="s">
        <v>37</v>
      </c>
      <c r="C827" t="s">
        <v>39</v>
      </c>
      <c r="D827" s="3">
        <v>70000</v>
      </c>
      <c r="E827">
        <v>3</v>
      </c>
      <c r="F827" t="s">
        <v>30</v>
      </c>
      <c r="G827" t="s">
        <v>23</v>
      </c>
      <c r="H827" t="s">
        <v>20</v>
      </c>
      <c r="I827">
        <v>1</v>
      </c>
      <c r="J827" t="s">
        <v>29</v>
      </c>
      <c r="K827" t="s">
        <v>35</v>
      </c>
      <c r="L827">
        <v>52</v>
      </c>
      <c r="M827" t="str">
        <f t="shared" si="13"/>
        <v>Middle Age</v>
      </c>
      <c r="N827" t="s">
        <v>17</v>
      </c>
    </row>
    <row r="828" spans="1:14" x14ac:dyDescent="0.3">
      <c r="A828">
        <v>15501</v>
      </c>
      <c r="B828" t="s">
        <v>37</v>
      </c>
      <c r="C828" t="s">
        <v>39</v>
      </c>
      <c r="D828" s="3">
        <v>70000</v>
      </c>
      <c r="E828">
        <v>4</v>
      </c>
      <c r="F828" t="s">
        <v>34</v>
      </c>
      <c r="G828" t="s">
        <v>23</v>
      </c>
      <c r="H828" t="s">
        <v>17</v>
      </c>
      <c r="I828">
        <v>0</v>
      </c>
      <c r="J828" t="s">
        <v>24</v>
      </c>
      <c r="K828" t="s">
        <v>35</v>
      </c>
      <c r="L828">
        <v>36</v>
      </c>
      <c r="M828" t="str">
        <f t="shared" si="13"/>
        <v>Middle Age</v>
      </c>
      <c r="N828" t="s">
        <v>17</v>
      </c>
    </row>
    <row r="829" spans="1:14" x14ac:dyDescent="0.3">
      <c r="A829">
        <v>13911</v>
      </c>
      <c r="B829" t="s">
        <v>40</v>
      </c>
      <c r="C829" t="s">
        <v>38</v>
      </c>
      <c r="D829" s="3">
        <v>80000</v>
      </c>
      <c r="E829">
        <v>3</v>
      </c>
      <c r="F829" t="s">
        <v>15</v>
      </c>
      <c r="G829" t="s">
        <v>16</v>
      </c>
      <c r="H829" t="s">
        <v>17</v>
      </c>
      <c r="I829">
        <v>2</v>
      </c>
      <c r="J829" t="s">
        <v>24</v>
      </c>
      <c r="K829" t="s">
        <v>35</v>
      </c>
      <c r="L829">
        <v>41</v>
      </c>
      <c r="M829" t="str">
        <f t="shared" si="13"/>
        <v>Middle Age</v>
      </c>
      <c r="N829" t="s">
        <v>17</v>
      </c>
    </row>
    <row r="830" spans="1:14" x14ac:dyDescent="0.3">
      <c r="A830">
        <v>20421</v>
      </c>
      <c r="B830" t="s">
        <v>40</v>
      </c>
      <c r="C830" t="s">
        <v>38</v>
      </c>
      <c r="D830" s="3">
        <v>40000</v>
      </c>
      <c r="E830">
        <v>0</v>
      </c>
      <c r="F830" t="s">
        <v>32</v>
      </c>
      <c r="G830" t="s">
        <v>22</v>
      </c>
      <c r="H830" t="s">
        <v>17</v>
      </c>
      <c r="I830">
        <v>2</v>
      </c>
      <c r="J830" t="s">
        <v>26</v>
      </c>
      <c r="K830" t="s">
        <v>35</v>
      </c>
      <c r="L830">
        <v>26</v>
      </c>
      <c r="M830" t="str">
        <f t="shared" si="13"/>
        <v>Adolescent</v>
      </c>
      <c r="N830" t="s">
        <v>20</v>
      </c>
    </row>
    <row r="831" spans="1:14" x14ac:dyDescent="0.3">
      <c r="A831">
        <v>16009</v>
      </c>
      <c r="B831" t="s">
        <v>40</v>
      </c>
      <c r="C831" t="s">
        <v>39</v>
      </c>
      <c r="D831" s="3">
        <v>170000</v>
      </c>
      <c r="E831">
        <v>1</v>
      </c>
      <c r="F831" t="s">
        <v>34</v>
      </c>
      <c r="G831" t="s">
        <v>31</v>
      </c>
      <c r="H831" t="s">
        <v>20</v>
      </c>
      <c r="I831">
        <v>4</v>
      </c>
      <c r="J831" t="s">
        <v>18</v>
      </c>
      <c r="K831" t="s">
        <v>35</v>
      </c>
      <c r="L831">
        <v>66</v>
      </c>
      <c r="M831" t="str">
        <f t="shared" si="13"/>
        <v>Old</v>
      </c>
      <c r="N831" t="s">
        <v>20</v>
      </c>
    </row>
    <row r="832" spans="1:14" x14ac:dyDescent="0.3">
      <c r="A832">
        <v>18411</v>
      </c>
      <c r="B832" t="s">
        <v>37</v>
      </c>
      <c r="C832" t="s">
        <v>39</v>
      </c>
      <c r="D832" s="3">
        <v>60000</v>
      </c>
      <c r="E832">
        <v>2</v>
      </c>
      <c r="F832" t="s">
        <v>30</v>
      </c>
      <c r="G832" t="s">
        <v>23</v>
      </c>
      <c r="H832" t="s">
        <v>20</v>
      </c>
      <c r="I832">
        <v>2</v>
      </c>
      <c r="J832" t="s">
        <v>26</v>
      </c>
      <c r="K832" t="s">
        <v>35</v>
      </c>
      <c r="L832">
        <v>51</v>
      </c>
      <c r="M832" t="str">
        <f t="shared" si="13"/>
        <v>Middle Age</v>
      </c>
      <c r="N832" t="s">
        <v>20</v>
      </c>
    </row>
    <row r="833" spans="1:14" x14ac:dyDescent="0.3">
      <c r="A833">
        <v>19163</v>
      </c>
      <c r="B833" t="s">
        <v>37</v>
      </c>
      <c r="C833" t="s">
        <v>38</v>
      </c>
      <c r="D833" s="3">
        <v>70000</v>
      </c>
      <c r="E833">
        <v>4</v>
      </c>
      <c r="F833" t="s">
        <v>15</v>
      </c>
      <c r="G833" t="s">
        <v>23</v>
      </c>
      <c r="H833" t="s">
        <v>17</v>
      </c>
      <c r="I833">
        <v>2</v>
      </c>
      <c r="J833" t="s">
        <v>18</v>
      </c>
      <c r="K833" t="s">
        <v>35</v>
      </c>
      <c r="L833">
        <v>43</v>
      </c>
      <c r="M833" t="str">
        <f t="shared" si="13"/>
        <v>Middle Age</v>
      </c>
      <c r="N833" t="s">
        <v>17</v>
      </c>
    </row>
    <row r="834" spans="1:14" x14ac:dyDescent="0.3">
      <c r="A834">
        <v>18572</v>
      </c>
      <c r="B834" t="s">
        <v>37</v>
      </c>
      <c r="C834" t="s">
        <v>38</v>
      </c>
      <c r="D834" s="3">
        <v>60000</v>
      </c>
      <c r="E834">
        <v>0</v>
      </c>
      <c r="F834" t="s">
        <v>34</v>
      </c>
      <c r="G834" t="s">
        <v>23</v>
      </c>
      <c r="H834" t="s">
        <v>17</v>
      </c>
      <c r="I834">
        <v>0</v>
      </c>
      <c r="J834" t="s">
        <v>18</v>
      </c>
      <c r="K834" t="s">
        <v>35</v>
      </c>
      <c r="L834">
        <v>39</v>
      </c>
      <c r="M834" t="str">
        <f t="shared" si="13"/>
        <v>Middle Age</v>
      </c>
      <c r="N834" t="s">
        <v>20</v>
      </c>
    </row>
    <row r="835" spans="1:14" x14ac:dyDescent="0.3">
      <c r="A835">
        <v>27540</v>
      </c>
      <c r="B835" t="s">
        <v>40</v>
      </c>
      <c r="C835" t="s">
        <v>38</v>
      </c>
      <c r="D835" s="3">
        <v>70000</v>
      </c>
      <c r="E835">
        <v>0</v>
      </c>
      <c r="F835" t="s">
        <v>15</v>
      </c>
      <c r="G835" t="s">
        <v>23</v>
      </c>
      <c r="H835" t="s">
        <v>20</v>
      </c>
      <c r="I835">
        <v>1</v>
      </c>
      <c r="J835" t="s">
        <v>18</v>
      </c>
      <c r="K835" t="s">
        <v>35</v>
      </c>
      <c r="L835">
        <v>37</v>
      </c>
      <c r="M835" t="str">
        <f t="shared" ref="M835:M898" si="14">IF(L835&gt;54, "Old", IF(L835&gt;31,"Middle Age",IF(L835&lt;31,"Adolescent","Invalid")))</f>
        <v>Middle Age</v>
      </c>
      <c r="N835" t="s">
        <v>17</v>
      </c>
    </row>
    <row r="836" spans="1:14" x14ac:dyDescent="0.3">
      <c r="A836">
        <v>19889</v>
      </c>
      <c r="B836" t="s">
        <v>40</v>
      </c>
      <c r="C836" t="s">
        <v>38</v>
      </c>
      <c r="D836" s="3">
        <v>70000</v>
      </c>
      <c r="E836">
        <v>2</v>
      </c>
      <c r="F836" t="s">
        <v>32</v>
      </c>
      <c r="G836" t="s">
        <v>16</v>
      </c>
      <c r="H836" t="s">
        <v>20</v>
      </c>
      <c r="I836">
        <v>2</v>
      </c>
      <c r="J836" t="s">
        <v>24</v>
      </c>
      <c r="K836" t="s">
        <v>35</v>
      </c>
      <c r="L836">
        <v>54</v>
      </c>
      <c r="M836" t="str">
        <f t="shared" si="14"/>
        <v>Middle Age</v>
      </c>
      <c r="N836" t="s">
        <v>17</v>
      </c>
    </row>
    <row r="837" spans="1:14" x14ac:dyDescent="0.3">
      <c r="A837">
        <v>12922</v>
      </c>
      <c r="B837" t="s">
        <v>40</v>
      </c>
      <c r="C837" t="s">
        <v>38</v>
      </c>
      <c r="D837" s="3">
        <v>60000</v>
      </c>
      <c r="E837">
        <v>3</v>
      </c>
      <c r="F837" t="s">
        <v>15</v>
      </c>
      <c r="G837" t="s">
        <v>16</v>
      </c>
      <c r="H837" t="s">
        <v>17</v>
      </c>
      <c r="I837">
        <v>0</v>
      </c>
      <c r="J837" t="s">
        <v>24</v>
      </c>
      <c r="K837" t="s">
        <v>35</v>
      </c>
      <c r="L837">
        <v>40</v>
      </c>
      <c r="M837" t="str">
        <f t="shared" si="14"/>
        <v>Middle Age</v>
      </c>
      <c r="N837" t="s">
        <v>17</v>
      </c>
    </row>
    <row r="838" spans="1:14" x14ac:dyDescent="0.3">
      <c r="A838">
        <v>18891</v>
      </c>
      <c r="B838" t="s">
        <v>37</v>
      </c>
      <c r="C838" t="s">
        <v>38</v>
      </c>
      <c r="D838" s="3">
        <v>40000</v>
      </c>
      <c r="E838">
        <v>0</v>
      </c>
      <c r="F838" t="s">
        <v>21</v>
      </c>
      <c r="G838" t="s">
        <v>16</v>
      </c>
      <c r="H838" t="s">
        <v>17</v>
      </c>
      <c r="I838">
        <v>2</v>
      </c>
      <c r="J838" t="s">
        <v>26</v>
      </c>
      <c r="K838" t="s">
        <v>35</v>
      </c>
      <c r="L838">
        <v>28</v>
      </c>
      <c r="M838" t="str">
        <f t="shared" si="14"/>
        <v>Adolescent</v>
      </c>
      <c r="N838" t="s">
        <v>20</v>
      </c>
    </row>
    <row r="839" spans="1:14" x14ac:dyDescent="0.3">
      <c r="A839">
        <v>16773</v>
      </c>
      <c r="B839" t="s">
        <v>37</v>
      </c>
      <c r="C839" t="s">
        <v>39</v>
      </c>
      <c r="D839" s="3">
        <v>60000</v>
      </c>
      <c r="E839">
        <v>1</v>
      </c>
      <c r="F839" t="s">
        <v>34</v>
      </c>
      <c r="G839" t="s">
        <v>16</v>
      </c>
      <c r="H839" t="s">
        <v>17</v>
      </c>
      <c r="I839">
        <v>0</v>
      </c>
      <c r="J839" t="s">
        <v>18</v>
      </c>
      <c r="K839" t="s">
        <v>35</v>
      </c>
      <c r="L839">
        <v>33</v>
      </c>
      <c r="M839" t="str">
        <f t="shared" si="14"/>
        <v>Middle Age</v>
      </c>
      <c r="N839" t="s">
        <v>20</v>
      </c>
    </row>
    <row r="840" spans="1:14" x14ac:dyDescent="0.3">
      <c r="A840">
        <v>19143</v>
      </c>
      <c r="B840" t="s">
        <v>40</v>
      </c>
      <c r="C840" t="s">
        <v>38</v>
      </c>
      <c r="D840" s="3">
        <v>80000</v>
      </c>
      <c r="E840">
        <v>3</v>
      </c>
      <c r="F840" t="s">
        <v>15</v>
      </c>
      <c r="G840" t="s">
        <v>16</v>
      </c>
      <c r="H840" t="s">
        <v>17</v>
      </c>
      <c r="I840">
        <v>2</v>
      </c>
      <c r="J840" t="s">
        <v>24</v>
      </c>
      <c r="K840" t="s">
        <v>35</v>
      </c>
      <c r="L840">
        <v>41</v>
      </c>
      <c r="M840" t="str">
        <f t="shared" si="14"/>
        <v>Middle Age</v>
      </c>
      <c r="N840" t="s">
        <v>17</v>
      </c>
    </row>
    <row r="841" spans="1:14" x14ac:dyDescent="0.3">
      <c r="A841">
        <v>23882</v>
      </c>
      <c r="B841" t="s">
        <v>40</v>
      </c>
      <c r="C841" t="s">
        <v>38</v>
      </c>
      <c r="D841" s="3">
        <v>80000</v>
      </c>
      <c r="E841">
        <v>3</v>
      </c>
      <c r="F841" t="s">
        <v>34</v>
      </c>
      <c r="G841" t="s">
        <v>23</v>
      </c>
      <c r="H841" t="s">
        <v>17</v>
      </c>
      <c r="I841">
        <v>0</v>
      </c>
      <c r="J841" t="s">
        <v>18</v>
      </c>
      <c r="K841" t="s">
        <v>35</v>
      </c>
      <c r="L841">
        <v>37</v>
      </c>
      <c r="M841" t="str">
        <f t="shared" si="14"/>
        <v>Middle Age</v>
      </c>
      <c r="N841" t="s">
        <v>17</v>
      </c>
    </row>
    <row r="842" spans="1:14" x14ac:dyDescent="0.3">
      <c r="A842">
        <v>11233</v>
      </c>
      <c r="B842" t="s">
        <v>37</v>
      </c>
      <c r="C842" t="s">
        <v>39</v>
      </c>
      <c r="D842" s="3">
        <v>70000</v>
      </c>
      <c r="E842">
        <v>4</v>
      </c>
      <c r="F842" t="s">
        <v>21</v>
      </c>
      <c r="G842" t="s">
        <v>23</v>
      </c>
      <c r="H842" t="s">
        <v>17</v>
      </c>
      <c r="I842">
        <v>2</v>
      </c>
      <c r="J842" t="s">
        <v>41</v>
      </c>
      <c r="K842" t="s">
        <v>35</v>
      </c>
      <c r="L842">
        <v>53</v>
      </c>
      <c r="M842" t="str">
        <f t="shared" si="14"/>
        <v>Middle Age</v>
      </c>
      <c r="N842" t="s">
        <v>20</v>
      </c>
    </row>
    <row r="843" spans="1:14" x14ac:dyDescent="0.3">
      <c r="A843">
        <v>12056</v>
      </c>
      <c r="B843" t="s">
        <v>37</v>
      </c>
      <c r="C843" t="s">
        <v>39</v>
      </c>
      <c r="D843" s="3">
        <v>120000</v>
      </c>
      <c r="E843">
        <v>2</v>
      </c>
      <c r="F843" t="s">
        <v>34</v>
      </c>
      <c r="G843" t="s">
        <v>31</v>
      </c>
      <c r="H843" t="s">
        <v>17</v>
      </c>
      <c r="I843">
        <v>3</v>
      </c>
      <c r="J843" t="s">
        <v>26</v>
      </c>
      <c r="K843" t="s">
        <v>35</v>
      </c>
      <c r="L843">
        <v>64</v>
      </c>
      <c r="M843" t="str">
        <f t="shared" si="14"/>
        <v>Old</v>
      </c>
      <c r="N843" t="s">
        <v>20</v>
      </c>
    </row>
    <row r="844" spans="1:14" x14ac:dyDescent="0.3">
      <c r="A844">
        <v>15555</v>
      </c>
      <c r="B844" t="s">
        <v>37</v>
      </c>
      <c r="C844" t="s">
        <v>38</v>
      </c>
      <c r="D844" s="3">
        <v>60000</v>
      </c>
      <c r="E844">
        <v>1</v>
      </c>
      <c r="F844" t="s">
        <v>21</v>
      </c>
      <c r="G844" t="s">
        <v>16</v>
      </c>
      <c r="H844" t="s">
        <v>17</v>
      </c>
      <c r="I844">
        <v>1</v>
      </c>
      <c r="J844" t="s">
        <v>24</v>
      </c>
      <c r="K844" t="s">
        <v>35</v>
      </c>
      <c r="L844">
        <v>45</v>
      </c>
      <c r="M844" t="str">
        <f t="shared" si="14"/>
        <v>Middle Age</v>
      </c>
      <c r="N844" t="s">
        <v>17</v>
      </c>
    </row>
    <row r="845" spans="1:14" x14ac:dyDescent="0.3">
      <c r="A845">
        <v>18423</v>
      </c>
      <c r="B845" t="s">
        <v>40</v>
      </c>
      <c r="C845" t="s">
        <v>39</v>
      </c>
      <c r="D845" s="3">
        <v>80000</v>
      </c>
      <c r="E845">
        <v>2</v>
      </c>
      <c r="F845" t="s">
        <v>32</v>
      </c>
      <c r="G845" t="s">
        <v>16</v>
      </c>
      <c r="H845" t="s">
        <v>20</v>
      </c>
      <c r="I845">
        <v>2</v>
      </c>
      <c r="J845" t="s">
        <v>29</v>
      </c>
      <c r="K845" t="s">
        <v>35</v>
      </c>
      <c r="L845">
        <v>52</v>
      </c>
      <c r="M845" t="str">
        <f t="shared" si="14"/>
        <v>Middle Age</v>
      </c>
      <c r="N845" t="s">
        <v>20</v>
      </c>
    </row>
    <row r="846" spans="1:14" x14ac:dyDescent="0.3">
      <c r="A846">
        <v>22743</v>
      </c>
      <c r="B846" t="s">
        <v>37</v>
      </c>
      <c r="C846" t="s">
        <v>38</v>
      </c>
      <c r="D846" s="3">
        <v>40000</v>
      </c>
      <c r="E846">
        <v>5</v>
      </c>
      <c r="F846" t="s">
        <v>30</v>
      </c>
      <c r="G846" t="s">
        <v>23</v>
      </c>
      <c r="H846" t="s">
        <v>17</v>
      </c>
      <c r="I846">
        <v>2</v>
      </c>
      <c r="J846" t="s">
        <v>41</v>
      </c>
      <c r="K846" t="s">
        <v>35</v>
      </c>
      <c r="L846">
        <v>60</v>
      </c>
      <c r="M846" t="str">
        <f t="shared" si="14"/>
        <v>Old</v>
      </c>
      <c r="N846" t="s">
        <v>20</v>
      </c>
    </row>
    <row r="847" spans="1:14" x14ac:dyDescent="0.3">
      <c r="A847">
        <v>25343</v>
      </c>
      <c r="B847" t="s">
        <v>40</v>
      </c>
      <c r="C847" t="s">
        <v>38</v>
      </c>
      <c r="D847" s="3">
        <v>20000</v>
      </c>
      <c r="E847">
        <v>3</v>
      </c>
      <c r="F847" t="s">
        <v>32</v>
      </c>
      <c r="G847" t="s">
        <v>22</v>
      </c>
      <c r="H847" t="s">
        <v>17</v>
      </c>
      <c r="I847">
        <v>2</v>
      </c>
      <c r="J847" t="s">
        <v>29</v>
      </c>
      <c r="K847" t="s">
        <v>35</v>
      </c>
      <c r="L847">
        <v>50</v>
      </c>
      <c r="M847" t="str">
        <f t="shared" si="14"/>
        <v>Middle Age</v>
      </c>
      <c r="N847" t="s">
        <v>20</v>
      </c>
    </row>
    <row r="848" spans="1:14" x14ac:dyDescent="0.3">
      <c r="A848">
        <v>13390</v>
      </c>
      <c r="B848" t="s">
        <v>37</v>
      </c>
      <c r="C848" t="s">
        <v>38</v>
      </c>
      <c r="D848" s="3">
        <v>70000</v>
      </c>
      <c r="E848">
        <v>4</v>
      </c>
      <c r="F848" t="s">
        <v>21</v>
      </c>
      <c r="G848" t="s">
        <v>23</v>
      </c>
      <c r="H848" t="s">
        <v>20</v>
      </c>
      <c r="I848">
        <v>1</v>
      </c>
      <c r="J848" t="s">
        <v>29</v>
      </c>
      <c r="K848" t="s">
        <v>35</v>
      </c>
      <c r="L848">
        <v>56</v>
      </c>
      <c r="M848" t="str">
        <f t="shared" si="14"/>
        <v>Old</v>
      </c>
      <c r="N848" t="s">
        <v>20</v>
      </c>
    </row>
    <row r="849" spans="1:14" x14ac:dyDescent="0.3">
      <c r="A849">
        <v>17482</v>
      </c>
      <c r="B849" t="s">
        <v>40</v>
      </c>
      <c r="C849" t="s">
        <v>38</v>
      </c>
      <c r="D849" s="3">
        <v>40000</v>
      </c>
      <c r="E849">
        <v>0</v>
      </c>
      <c r="F849" t="s">
        <v>32</v>
      </c>
      <c r="G849" t="s">
        <v>22</v>
      </c>
      <c r="H849" t="s">
        <v>17</v>
      </c>
      <c r="I849">
        <v>2</v>
      </c>
      <c r="J849" t="s">
        <v>26</v>
      </c>
      <c r="K849" t="s">
        <v>35</v>
      </c>
      <c r="L849">
        <v>29</v>
      </c>
      <c r="M849" t="str">
        <f t="shared" si="14"/>
        <v>Adolescent</v>
      </c>
      <c r="N849" t="s">
        <v>20</v>
      </c>
    </row>
    <row r="850" spans="1:14" x14ac:dyDescent="0.3">
      <c r="A850">
        <v>13176</v>
      </c>
      <c r="B850" t="s">
        <v>40</v>
      </c>
      <c r="C850" t="s">
        <v>39</v>
      </c>
      <c r="D850" s="3">
        <v>130000</v>
      </c>
      <c r="E850">
        <v>0</v>
      </c>
      <c r="F850" t="s">
        <v>34</v>
      </c>
      <c r="G850" t="s">
        <v>31</v>
      </c>
      <c r="H850" t="s">
        <v>20</v>
      </c>
      <c r="I850">
        <v>2</v>
      </c>
      <c r="J850" t="s">
        <v>18</v>
      </c>
      <c r="K850" t="s">
        <v>35</v>
      </c>
      <c r="L850">
        <v>38</v>
      </c>
      <c r="M850" t="str">
        <f t="shared" si="14"/>
        <v>Middle Age</v>
      </c>
      <c r="N850" t="s">
        <v>17</v>
      </c>
    </row>
    <row r="851" spans="1:14" x14ac:dyDescent="0.3">
      <c r="A851">
        <v>20504</v>
      </c>
      <c r="B851" t="s">
        <v>37</v>
      </c>
      <c r="C851" t="s">
        <v>38</v>
      </c>
      <c r="D851" s="3">
        <v>40000</v>
      </c>
      <c r="E851">
        <v>5</v>
      </c>
      <c r="F851" t="s">
        <v>30</v>
      </c>
      <c r="G851" t="s">
        <v>23</v>
      </c>
      <c r="H851" t="s">
        <v>20</v>
      </c>
      <c r="I851">
        <v>2</v>
      </c>
      <c r="J851" t="s">
        <v>24</v>
      </c>
      <c r="K851" t="s">
        <v>35</v>
      </c>
      <c r="L851">
        <v>60</v>
      </c>
      <c r="M851" t="str">
        <f t="shared" si="14"/>
        <v>Old</v>
      </c>
      <c r="N851" t="s">
        <v>20</v>
      </c>
    </row>
    <row r="852" spans="1:14" x14ac:dyDescent="0.3">
      <c r="A852">
        <v>12205</v>
      </c>
      <c r="B852" t="s">
        <v>40</v>
      </c>
      <c r="C852" t="s">
        <v>38</v>
      </c>
      <c r="D852" s="3">
        <v>130000</v>
      </c>
      <c r="E852">
        <v>2</v>
      </c>
      <c r="F852" t="s">
        <v>15</v>
      </c>
      <c r="G852" t="s">
        <v>31</v>
      </c>
      <c r="H852" t="s">
        <v>20</v>
      </c>
      <c r="I852">
        <v>4</v>
      </c>
      <c r="J852" t="s">
        <v>18</v>
      </c>
      <c r="K852" t="s">
        <v>35</v>
      </c>
      <c r="L852">
        <v>67</v>
      </c>
      <c r="M852" t="str">
        <f t="shared" si="14"/>
        <v>Old</v>
      </c>
      <c r="N852" t="s">
        <v>20</v>
      </c>
    </row>
    <row r="853" spans="1:14" x14ac:dyDescent="0.3">
      <c r="A853">
        <v>16751</v>
      </c>
      <c r="B853" t="s">
        <v>37</v>
      </c>
      <c r="C853" t="s">
        <v>39</v>
      </c>
      <c r="D853" s="3">
        <v>60000</v>
      </c>
      <c r="E853">
        <v>0</v>
      </c>
      <c r="F853" t="s">
        <v>21</v>
      </c>
      <c r="G853" t="s">
        <v>16</v>
      </c>
      <c r="H853" t="s">
        <v>17</v>
      </c>
      <c r="I853">
        <v>1</v>
      </c>
      <c r="J853" t="s">
        <v>26</v>
      </c>
      <c r="K853" t="s">
        <v>35</v>
      </c>
      <c r="L853">
        <v>32</v>
      </c>
      <c r="M853" t="str">
        <f t="shared" si="14"/>
        <v>Middle Age</v>
      </c>
      <c r="N853" t="s">
        <v>17</v>
      </c>
    </row>
    <row r="854" spans="1:14" x14ac:dyDescent="0.3">
      <c r="A854">
        <v>21613</v>
      </c>
      <c r="B854" t="s">
        <v>40</v>
      </c>
      <c r="C854" t="s">
        <v>39</v>
      </c>
      <c r="D854" s="3">
        <v>50000</v>
      </c>
      <c r="E854">
        <v>2</v>
      </c>
      <c r="F854" t="s">
        <v>15</v>
      </c>
      <c r="G854" t="s">
        <v>16</v>
      </c>
      <c r="H854" t="s">
        <v>20</v>
      </c>
      <c r="I854">
        <v>1</v>
      </c>
      <c r="J854" t="s">
        <v>18</v>
      </c>
      <c r="K854" t="s">
        <v>35</v>
      </c>
      <c r="L854">
        <v>39</v>
      </c>
      <c r="M854" t="str">
        <f t="shared" si="14"/>
        <v>Middle Age</v>
      </c>
      <c r="N854" t="s">
        <v>17</v>
      </c>
    </row>
    <row r="855" spans="1:14" x14ac:dyDescent="0.3">
      <c r="A855">
        <v>24801</v>
      </c>
      <c r="B855" t="s">
        <v>40</v>
      </c>
      <c r="C855" t="s">
        <v>39</v>
      </c>
      <c r="D855" s="3">
        <v>60000</v>
      </c>
      <c r="E855">
        <v>1</v>
      </c>
      <c r="F855" t="s">
        <v>34</v>
      </c>
      <c r="G855" t="s">
        <v>23</v>
      </c>
      <c r="H855" t="s">
        <v>17</v>
      </c>
      <c r="I855">
        <v>0</v>
      </c>
      <c r="J855" t="s">
        <v>24</v>
      </c>
      <c r="K855" t="s">
        <v>35</v>
      </c>
      <c r="L855">
        <v>35</v>
      </c>
      <c r="M855" t="str">
        <f t="shared" si="14"/>
        <v>Middle Age</v>
      </c>
      <c r="N855" t="s">
        <v>17</v>
      </c>
    </row>
    <row r="856" spans="1:14" x14ac:dyDescent="0.3">
      <c r="A856">
        <v>17519</v>
      </c>
      <c r="B856" t="s">
        <v>37</v>
      </c>
      <c r="C856" t="s">
        <v>38</v>
      </c>
      <c r="D856" s="3">
        <v>60000</v>
      </c>
      <c r="E856">
        <v>0</v>
      </c>
      <c r="F856" t="s">
        <v>21</v>
      </c>
      <c r="G856" t="s">
        <v>23</v>
      </c>
      <c r="H856" t="s">
        <v>17</v>
      </c>
      <c r="I856">
        <v>2</v>
      </c>
      <c r="J856" t="s">
        <v>26</v>
      </c>
      <c r="K856" t="s">
        <v>35</v>
      </c>
      <c r="L856">
        <v>32</v>
      </c>
      <c r="M856" t="str">
        <f t="shared" si="14"/>
        <v>Middle Age</v>
      </c>
      <c r="N856" t="s">
        <v>20</v>
      </c>
    </row>
    <row r="857" spans="1:14" x14ac:dyDescent="0.3">
      <c r="A857">
        <v>18347</v>
      </c>
      <c r="B857" t="s">
        <v>40</v>
      </c>
      <c r="C857" t="s">
        <v>38</v>
      </c>
      <c r="D857" s="3">
        <v>30000</v>
      </c>
      <c r="E857">
        <v>0</v>
      </c>
      <c r="F857" t="s">
        <v>21</v>
      </c>
      <c r="G857" t="s">
        <v>16</v>
      </c>
      <c r="H857" t="s">
        <v>20</v>
      </c>
      <c r="I857">
        <v>1</v>
      </c>
      <c r="J857" t="s">
        <v>29</v>
      </c>
      <c r="K857" t="s">
        <v>35</v>
      </c>
      <c r="L857">
        <v>31</v>
      </c>
      <c r="M857" t="str">
        <f>IF(L857&gt;54, "Old", IF(L857&gt;30,"Middle Age",IF(L857&lt;31,"Adolescent","Invalid")))</f>
        <v>Middle Age</v>
      </c>
      <c r="N857" t="s">
        <v>20</v>
      </c>
    </row>
    <row r="858" spans="1:14" x14ac:dyDescent="0.3">
      <c r="A858">
        <v>29052</v>
      </c>
      <c r="B858" t="s">
        <v>40</v>
      </c>
      <c r="C858" t="s">
        <v>39</v>
      </c>
      <c r="D858" s="3">
        <v>40000</v>
      </c>
      <c r="E858">
        <v>0</v>
      </c>
      <c r="F858" t="s">
        <v>21</v>
      </c>
      <c r="G858" t="s">
        <v>16</v>
      </c>
      <c r="H858" t="s">
        <v>17</v>
      </c>
      <c r="I858">
        <v>1</v>
      </c>
      <c r="J858" t="s">
        <v>26</v>
      </c>
      <c r="K858" t="s">
        <v>35</v>
      </c>
      <c r="L858">
        <v>27</v>
      </c>
      <c r="M858" t="str">
        <f t="shared" si="14"/>
        <v>Adolescent</v>
      </c>
      <c r="N858" t="s">
        <v>20</v>
      </c>
    </row>
    <row r="859" spans="1:14" x14ac:dyDescent="0.3">
      <c r="A859">
        <v>11745</v>
      </c>
      <c r="B859" t="s">
        <v>37</v>
      </c>
      <c r="C859" t="s">
        <v>38</v>
      </c>
      <c r="D859" s="3">
        <v>60000</v>
      </c>
      <c r="E859">
        <v>1</v>
      </c>
      <c r="F859" t="s">
        <v>15</v>
      </c>
      <c r="G859" t="s">
        <v>23</v>
      </c>
      <c r="H859" t="s">
        <v>17</v>
      </c>
      <c r="I859">
        <v>1</v>
      </c>
      <c r="J859" t="s">
        <v>18</v>
      </c>
      <c r="K859" t="s">
        <v>35</v>
      </c>
      <c r="L859">
        <v>47</v>
      </c>
      <c r="M859" t="str">
        <f t="shared" si="14"/>
        <v>Middle Age</v>
      </c>
      <c r="N859" t="s">
        <v>17</v>
      </c>
    </row>
    <row r="860" spans="1:14" x14ac:dyDescent="0.3">
      <c r="A860">
        <v>19147</v>
      </c>
      <c r="B860" t="s">
        <v>37</v>
      </c>
      <c r="C860" t="s">
        <v>39</v>
      </c>
      <c r="D860" s="3">
        <v>40000</v>
      </c>
      <c r="E860">
        <v>0</v>
      </c>
      <c r="F860" t="s">
        <v>15</v>
      </c>
      <c r="G860" t="s">
        <v>23</v>
      </c>
      <c r="H860" t="s">
        <v>20</v>
      </c>
      <c r="I860">
        <v>1</v>
      </c>
      <c r="J860" t="s">
        <v>18</v>
      </c>
      <c r="K860" t="s">
        <v>35</v>
      </c>
      <c r="L860">
        <v>42</v>
      </c>
      <c r="M860" t="str">
        <f t="shared" si="14"/>
        <v>Middle Age</v>
      </c>
      <c r="N860" t="s">
        <v>20</v>
      </c>
    </row>
    <row r="861" spans="1:14" x14ac:dyDescent="0.3">
      <c r="A861">
        <v>19217</v>
      </c>
      <c r="B861" t="s">
        <v>37</v>
      </c>
      <c r="C861" t="s">
        <v>39</v>
      </c>
      <c r="D861" s="3">
        <v>30000</v>
      </c>
      <c r="E861">
        <v>2</v>
      </c>
      <c r="F861" t="s">
        <v>30</v>
      </c>
      <c r="G861" t="s">
        <v>16</v>
      </c>
      <c r="H861" t="s">
        <v>17</v>
      </c>
      <c r="I861">
        <v>2</v>
      </c>
      <c r="J861" t="s">
        <v>29</v>
      </c>
      <c r="K861" t="s">
        <v>35</v>
      </c>
      <c r="L861">
        <v>49</v>
      </c>
      <c r="M861" t="str">
        <f t="shared" si="14"/>
        <v>Middle Age</v>
      </c>
      <c r="N861" t="s">
        <v>20</v>
      </c>
    </row>
    <row r="862" spans="1:14" x14ac:dyDescent="0.3">
      <c r="A862">
        <v>15839</v>
      </c>
      <c r="B862" t="s">
        <v>40</v>
      </c>
      <c r="C862" t="s">
        <v>39</v>
      </c>
      <c r="D862" s="3">
        <v>30000</v>
      </c>
      <c r="E862">
        <v>0</v>
      </c>
      <c r="F862" t="s">
        <v>21</v>
      </c>
      <c r="G862" t="s">
        <v>16</v>
      </c>
      <c r="H862" t="s">
        <v>17</v>
      </c>
      <c r="I862">
        <v>1</v>
      </c>
      <c r="J862" t="s">
        <v>26</v>
      </c>
      <c r="K862" t="s">
        <v>35</v>
      </c>
      <c r="L862">
        <v>32</v>
      </c>
      <c r="M862" t="str">
        <f t="shared" si="14"/>
        <v>Middle Age</v>
      </c>
      <c r="N862" t="s">
        <v>20</v>
      </c>
    </row>
    <row r="863" spans="1:14" x14ac:dyDescent="0.3">
      <c r="A863">
        <v>13714</v>
      </c>
      <c r="B863" t="s">
        <v>37</v>
      </c>
      <c r="C863" t="s">
        <v>38</v>
      </c>
      <c r="D863" s="3">
        <v>20000</v>
      </c>
      <c r="E863">
        <v>2</v>
      </c>
      <c r="F863" t="s">
        <v>30</v>
      </c>
      <c r="G863" t="s">
        <v>28</v>
      </c>
      <c r="H863" t="s">
        <v>20</v>
      </c>
      <c r="I863">
        <v>2</v>
      </c>
      <c r="J863" t="s">
        <v>29</v>
      </c>
      <c r="K863" t="s">
        <v>35</v>
      </c>
      <c r="L863">
        <v>53</v>
      </c>
      <c r="M863" t="str">
        <f t="shared" si="14"/>
        <v>Middle Age</v>
      </c>
      <c r="N863" t="s">
        <v>17</v>
      </c>
    </row>
    <row r="864" spans="1:14" x14ac:dyDescent="0.3">
      <c r="A864">
        <v>22330</v>
      </c>
      <c r="B864" t="s">
        <v>37</v>
      </c>
      <c r="C864" t="s">
        <v>39</v>
      </c>
      <c r="D864" s="3">
        <v>50000</v>
      </c>
      <c r="E864">
        <v>0</v>
      </c>
      <c r="F864" t="s">
        <v>34</v>
      </c>
      <c r="G864" t="s">
        <v>16</v>
      </c>
      <c r="H864" t="s">
        <v>17</v>
      </c>
      <c r="I864">
        <v>0</v>
      </c>
      <c r="J864" t="s">
        <v>29</v>
      </c>
      <c r="K864" t="s">
        <v>35</v>
      </c>
      <c r="L864">
        <v>32</v>
      </c>
      <c r="M864" t="str">
        <f t="shared" si="14"/>
        <v>Middle Age</v>
      </c>
      <c r="N864" t="s">
        <v>17</v>
      </c>
    </row>
    <row r="865" spans="1:14" x14ac:dyDescent="0.3">
      <c r="A865">
        <v>18783</v>
      </c>
      <c r="B865" t="s">
        <v>40</v>
      </c>
      <c r="C865" t="s">
        <v>39</v>
      </c>
      <c r="D865" s="3">
        <v>80000</v>
      </c>
      <c r="E865">
        <v>0</v>
      </c>
      <c r="F865" t="s">
        <v>15</v>
      </c>
      <c r="G865" t="s">
        <v>31</v>
      </c>
      <c r="H865" t="s">
        <v>20</v>
      </c>
      <c r="I865">
        <v>1</v>
      </c>
      <c r="J865" t="s">
        <v>18</v>
      </c>
      <c r="K865" t="s">
        <v>35</v>
      </c>
      <c r="L865">
        <v>38</v>
      </c>
      <c r="M865" t="str">
        <f t="shared" si="14"/>
        <v>Middle Age</v>
      </c>
      <c r="N865" t="s">
        <v>17</v>
      </c>
    </row>
    <row r="866" spans="1:14" x14ac:dyDescent="0.3">
      <c r="A866">
        <v>25041</v>
      </c>
      <c r="B866" t="s">
        <v>40</v>
      </c>
      <c r="C866" t="s">
        <v>39</v>
      </c>
      <c r="D866" s="3">
        <v>40000</v>
      </c>
      <c r="E866">
        <v>0</v>
      </c>
      <c r="F866" t="s">
        <v>30</v>
      </c>
      <c r="G866" t="s">
        <v>16</v>
      </c>
      <c r="H866" t="s">
        <v>17</v>
      </c>
      <c r="I866">
        <v>2</v>
      </c>
      <c r="J866" t="s">
        <v>26</v>
      </c>
      <c r="K866" t="s">
        <v>35</v>
      </c>
      <c r="L866">
        <v>31</v>
      </c>
      <c r="M866" t="str">
        <f>IF(L866&gt;54, "Old", IF(L866&gt;30,"Middle Age",IF(L866&lt;31,"Adolescent","Invalid")))</f>
        <v>Middle Age</v>
      </c>
      <c r="N866" t="s">
        <v>20</v>
      </c>
    </row>
    <row r="867" spans="1:14" x14ac:dyDescent="0.3">
      <c r="A867">
        <v>22046</v>
      </c>
      <c r="B867" t="s">
        <v>40</v>
      </c>
      <c r="C867" t="s">
        <v>38</v>
      </c>
      <c r="D867" s="3">
        <v>80000</v>
      </c>
      <c r="E867">
        <v>0</v>
      </c>
      <c r="F867" t="s">
        <v>15</v>
      </c>
      <c r="G867" t="s">
        <v>31</v>
      </c>
      <c r="H867" t="s">
        <v>20</v>
      </c>
      <c r="I867">
        <v>1</v>
      </c>
      <c r="J867" t="s">
        <v>18</v>
      </c>
      <c r="K867" t="s">
        <v>35</v>
      </c>
      <c r="L867">
        <v>38</v>
      </c>
      <c r="M867" t="str">
        <f t="shared" si="14"/>
        <v>Middle Age</v>
      </c>
      <c r="N867" t="s">
        <v>17</v>
      </c>
    </row>
    <row r="868" spans="1:14" x14ac:dyDescent="0.3">
      <c r="A868">
        <v>28052</v>
      </c>
      <c r="B868" t="s">
        <v>37</v>
      </c>
      <c r="C868" t="s">
        <v>39</v>
      </c>
      <c r="D868" s="3">
        <v>60000</v>
      </c>
      <c r="E868">
        <v>2</v>
      </c>
      <c r="F868" t="s">
        <v>30</v>
      </c>
      <c r="G868" t="s">
        <v>23</v>
      </c>
      <c r="H868" t="s">
        <v>17</v>
      </c>
      <c r="I868">
        <v>2</v>
      </c>
      <c r="J868" t="s">
        <v>41</v>
      </c>
      <c r="K868" t="s">
        <v>35</v>
      </c>
      <c r="L868">
        <v>55</v>
      </c>
      <c r="M868" t="str">
        <f t="shared" si="14"/>
        <v>Old</v>
      </c>
      <c r="N868" t="s">
        <v>20</v>
      </c>
    </row>
    <row r="869" spans="1:14" x14ac:dyDescent="0.3">
      <c r="A869">
        <v>26693</v>
      </c>
      <c r="B869" t="s">
        <v>37</v>
      </c>
      <c r="C869" t="s">
        <v>39</v>
      </c>
      <c r="D869" s="3">
        <v>70000</v>
      </c>
      <c r="E869">
        <v>3</v>
      </c>
      <c r="F869" t="s">
        <v>21</v>
      </c>
      <c r="G869" t="s">
        <v>23</v>
      </c>
      <c r="H869" t="s">
        <v>17</v>
      </c>
      <c r="I869">
        <v>1</v>
      </c>
      <c r="J869" t="s">
        <v>26</v>
      </c>
      <c r="K869" t="s">
        <v>35</v>
      </c>
      <c r="L869">
        <v>49</v>
      </c>
      <c r="M869" t="str">
        <f t="shared" si="14"/>
        <v>Middle Age</v>
      </c>
      <c r="N869" t="s">
        <v>20</v>
      </c>
    </row>
    <row r="870" spans="1:14" x14ac:dyDescent="0.3">
      <c r="A870">
        <v>24955</v>
      </c>
      <c r="B870" t="s">
        <v>40</v>
      </c>
      <c r="C870" t="s">
        <v>39</v>
      </c>
      <c r="D870" s="3">
        <v>30000</v>
      </c>
      <c r="E870">
        <v>5</v>
      </c>
      <c r="F870" t="s">
        <v>32</v>
      </c>
      <c r="G870" t="s">
        <v>16</v>
      </c>
      <c r="H870" t="s">
        <v>17</v>
      </c>
      <c r="I870">
        <v>3</v>
      </c>
      <c r="J870" t="s">
        <v>41</v>
      </c>
      <c r="K870" t="s">
        <v>35</v>
      </c>
      <c r="L870">
        <v>60</v>
      </c>
      <c r="M870" t="str">
        <f t="shared" si="14"/>
        <v>Old</v>
      </c>
      <c r="N870" t="s">
        <v>17</v>
      </c>
    </row>
    <row r="871" spans="1:14" x14ac:dyDescent="0.3">
      <c r="A871">
        <v>26065</v>
      </c>
      <c r="B871" t="s">
        <v>40</v>
      </c>
      <c r="C871" t="s">
        <v>38</v>
      </c>
      <c r="D871" s="3">
        <v>110000</v>
      </c>
      <c r="E871">
        <v>3</v>
      </c>
      <c r="F871" t="s">
        <v>15</v>
      </c>
      <c r="G871" t="s">
        <v>31</v>
      </c>
      <c r="H871" t="s">
        <v>20</v>
      </c>
      <c r="I871">
        <v>4</v>
      </c>
      <c r="J871" t="s">
        <v>29</v>
      </c>
      <c r="K871" t="s">
        <v>35</v>
      </c>
      <c r="L871">
        <v>42</v>
      </c>
      <c r="M871" t="str">
        <f t="shared" si="14"/>
        <v>Middle Age</v>
      </c>
      <c r="N871" t="s">
        <v>20</v>
      </c>
    </row>
    <row r="872" spans="1:14" x14ac:dyDescent="0.3">
      <c r="A872">
        <v>13942</v>
      </c>
      <c r="B872" t="s">
        <v>37</v>
      </c>
      <c r="C872" t="s">
        <v>39</v>
      </c>
      <c r="D872" s="3">
        <v>60000</v>
      </c>
      <c r="E872">
        <v>1</v>
      </c>
      <c r="F872" t="s">
        <v>21</v>
      </c>
      <c r="G872" t="s">
        <v>16</v>
      </c>
      <c r="H872" t="s">
        <v>17</v>
      </c>
      <c r="I872">
        <v>1</v>
      </c>
      <c r="J872" t="s">
        <v>18</v>
      </c>
      <c r="K872" t="s">
        <v>35</v>
      </c>
      <c r="L872">
        <v>46</v>
      </c>
      <c r="M872" t="str">
        <f t="shared" si="14"/>
        <v>Middle Age</v>
      </c>
      <c r="N872" t="s">
        <v>20</v>
      </c>
    </row>
    <row r="873" spans="1:14" x14ac:dyDescent="0.3">
      <c r="A873">
        <v>11219</v>
      </c>
      <c r="B873" t="s">
        <v>37</v>
      </c>
      <c r="C873" t="s">
        <v>39</v>
      </c>
      <c r="D873" s="3">
        <v>60000</v>
      </c>
      <c r="E873">
        <v>2</v>
      </c>
      <c r="F873" t="s">
        <v>30</v>
      </c>
      <c r="G873" t="s">
        <v>23</v>
      </c>
      <c r="H873" t="s">
        <v>17</v>
      </c>
      <c r="I873">
        <v>2</v>
      </c>
      <c r="J873" t="s">
        <v>41</v>
      </c>
      <c r="K873" t="s">
        <v>35</v>
      </c>
      <c r="L873">
        <v>55</v>
      </c>
      <c r="M873" t="str">
        <f t="shared" si="14"/>
        <v>Old</v>
      </c>
      <c r="N873" t="s">
        <v>20</v>
      </c>
    </row>
    <row r="874" spans="1:14" x14ac:dyDescent="0.3">
      <c r="A874">
        <v>22118</v>
      </c>
      <c r="B874" t="s">
        <v>40</v>
      </c>
      <c r="C874" t="s">
        <v>38</v>
      </c>
      <c r="D874" s="3">
        <v>70000</v>
      </c>
      <c r="E874">
        <v>3</v>
      </c>
      <c r="F874" t="s">
        <v>34</v>
      </c>
      <c r="G874" t="s">
        <v>31</v>
      </c>
      <c r="H874" t="s">
        <v>17</v>
      </c>
      <c r="I874">
        <v>2</v>
      </c>
      <c r="J874" t="s">
        <v>26</v>
      </c>
      <c r="K874" t="s">
        <v>35</v>
      </c>
      <c r="L874">
        <v>53</v>
      </c>
      <c r="M874" t="str">
        <f t="shared" si="14"/>
        <v>Middle Age</v>
      </c>
      <c r="N874" t="s">
        <v>17</v>
      </c>
    </row>
    <row r="875" spans="1:14" x14ac:dyDescent="0.3">
      <c r="A875">
        <v>23197</v>
      </c>
      <c r="B875" t="s">
        <v>37</v>
      </c>
      <c r="C875" t="s">
        <v>39</v>
      </c>
      <c r="D875" s="3">
        <v>50000</v>
      </c>
      <c r="E875">
        <v>3</v>
      </c>
      <c r="F875" t="s">
        <v>15</v>
      </c>
      <c r="G875" t="s">
        <v>16</v>
      </c>
      <c r="H875" t="s">
        <v>17</v>
      </c>
      <c r="I875">
        <v>2</v>
      </c>
      <c r="J875" t="s">
        <v>24</v>
      </c>
      <c r="K875" t="s">
        <v>35</v>
      </c>
      <c r="L875">
        <v>40</v>
      </c>
      <c r="M875" t="str">
        <f t="shared" si="14"/>
        <v>Middle Age</v>
      </c>
      <c r="N875" t="s">
        <v>20</v>
      </c>
    </row>
    <row r="876" spans="1:14" x14ac:dyDescent="0.3">
      <c r="A876">
        <v>14883</v>
      </c>
      <c r="B876" t="s">
        <v>37</v>
      </c>
      <c r="C876" t="s">
        <v>38</v>
      </c>
      <c r="D876" s="3">
        <v>30000</v>
      </c>
      <c r="E876">
        <v>1</v>
      </c>
      <c r="F876" t="s">
        <v>15</v>
      </c>
      <c r="G876" t="s">
        <v>16</v>
      </c>
      <c r="H876" t="s">
        <v>17</v>
      </c>
      <c r="I876">
        <v>1</v>
      </c>
      <c r="J876" t="s">
        <v>26</v>
      </c>
      <c r="K876" t="s">
        <v>35</v>
      </c>
      <c r="L876">
        <v>53</v>
      </c>
      <c r="M876" t="str">
        <f t="shared" si="14"/>
        <v>Middle Age</v>
      </c>
      <c r="N876" t="s">
        <v>17</v>
      </c>
    </row>
    <row r="877" spans="1:14" x14ac:dyDescent="0.3">
      <c r="A877">
        <v>27279</v>
      </c>
      <c r="B877" t="s">
        <v>40</v>
      </c>
      <c r="C877" t="s">
        <v>38</v>
      </c>
      <c r="D877" s="3">
        <v>70000</v>
      </c>
      <c r="E877">
        <v>2</v>
      </c>
      <c r="F877" t="s">
        <v>15</v>
      </c>
      <c r="G877" t="s">
        <v>16</v>
      </c>
      <c r="H877" t="s">
        <v>17</v>
      </c>
      <c r="I877">
        <v>0</v>
      </c>
      <c r="J877" t="s">
        <v>24</v>
      </c>
      <c r="K877" t="s">
        <v>35</v>
      </c>
      <c r="L877">
        <v>38</v>
      </c>
      <c r="M877" t="str">
        <f t="shared" si="14"/>
        <v>Middle Age</v>
      </c>
      <c r="N877" t="s">
        <v>17</v>
      </c>
    </row>
    <row r="878" spans="1:14" x14ac:dyDescent="0.3">
      <c r="A878">
        <v>18322</v>
      </c>
      <c r="B878" t="s">
        <v>40</v>
      </c>
      <c r="C878" t="s">
        <v>39</v>
      </c>
      <c r="D878" s="3">
        <v>30000</v>
      </c>
      <c r="E878">
        <v>0</v>
      </c>
      <c r="F878" t="s">
        <v>32</v>
      </c>
      <c r="G878" t="s">
        <v>22</v>
      </c>
      <c r="H878" t="s">
        <v>20</v>
      </c>
      <c r="I878">
        <v>2</v>
      </c>
      <c r="J878" t="s">
        <v>18</v>
      </c>
      <c r="K878" t="s">
        <v>35</v>
      </c>
      <c r="L878">
        <v>26</v>
      </c>
      <c r="M878" t="str">
        <f t="shared" si="14"/>
        <v>Adolescent</v>
      </c>
      <c r="N878" t="s">
        <v>20</v>
      </c>
    </row>
    <row r="879" spans="1:14" x14ac:dyDescent="0.3">
      <c r="A879">
        <v>15879</v>
      </c>
      <c r="B879" t="s">
        <v>37</v>
      </c>
      <c r="C879" t="s">
        <v>39</v>
      </c>
      <c r="D879" s="3">
        <v>70000</v>
      </c>
      <c r="E879">
        <v>5</v>
      </c>
      <c r="F879" t="s">
        <v>15</v>
      </c>
      <c r="G879" t="s">
        <v>31</v>
      </c>
      <c r="H879" t="s">
        <v>17</v>
      </c>
      <c r="I879">
        <v>2</v>
      </c>
      <c r="J879" t="s">
        <v>24</v>
      </c>
      <c r="K879" t="s">
        <v>35</v>
      </c>
      <c r="L879">
        <v>61</v>
      </c>
      <c r="M879" t="str">
        <f t="shared" si="14"/>
        <v>Old</v>
      </c>
      <c r="N879" t="s">
        <v>20</v>
      </c>
    </row>
    <row r="880" spans="1:14" x14ac:dyDescent="0.3">
      <c r="A880">
        <v>28278</v>
      </c>
      <c r="B880" t="s">
        <v>37</v>
      </c>
      <c r="C880" t="s">
        <v>39</v>
      </c>
      <c r="D880" s="3">
        <v>50000</v>
      </c>
      <c r="E880">
        <v>2</v>
      </c>
      <c r="F880" t="s">
        <v>34</v>
      </c>
      <c r="G880" t="s">
        <v>31</v>
      </c>
      <c r="H880" t="s">
        <v>17</v>
      </c>
      <c r="I880">
        <v>2</v>
      </c>
      <c r="J880" t="s">
        <v>26</v>
      </c>
      <c r="K880" t="s">
        <v>35</v>
      </c>
      <c r="L880">
        <v>71</v>
      </c>
      <c r="M880" t="str">
        <f t="shared" si="14"/>
        <v>Old</v>
      </c>
      <c r="N880" t="s">
        <v>20</v>
      </c>
    </row>
    <row r="881" spans="1:14" x14ac:dyDescent="0.3">
      <c r="A881">
        <v>24416</v>
      </c>
      <c r="B881" t="s">
        <v>37</v>
      </c>
      <c r="C881" t="s">
        <v>39</v>
      </c>
      <c r="D881" s="3">
        <v>90000</v>
      </c>
      <c r="E881">
        <v>4</v>
      </c>
      <c r="F881" t="s">
        <v>30</v>
      </c>
      <c r="G881" t="s">
        <v>23</v>
      </c>
      <c r="H881" t="s">
        <v>17</v>
      </c>
      <c r="I881">
        <v>2</v>
      </c>
      <c r="J881" t="s">
        <v>29</v>
      </c>
      <c r="K881" t="s">
        <v>35</v>
      </c>
      <c r="L881">
        <v>45</v>
      </c>
      <c r="M881" t="str">
        <f t="shared" si="14"/>
        <v>Middle Age</v>
      </c>
      <c r="N881" t="s">
        <v>20</v>
      </c>
    </row>
    <row r="882" spans="1:14" x14ac:dyDescent="0.3">
      <c r="A882">
        <v>28066</v>
      </c>
      <c r="B882" t="s">
        <v>37</v>
      </c>
      <c r="C882" t="s">
        <v>39</v>
      </c>
      <c r="D882" s="3">
        <v>80000</v>
      </c>
      <c r="E882">
        <v>2</v>
      </c>
      <c r="F882" t="s">
        <v>34</v>
      </c>
      <c r="G882" t="s">
        <v>23</v>
      </c>
      <c r="H882" t="s">
        <v>17</v>
      </c>
      <c r="I882">
        <v>0</v>
      </c>
      <c r="J882" t="s">
        <v>18</v>
      </c>
      <c r="K882" t="s">
        <v>35</v>
      </c>
      <c r="L882">
        <v>37</v>
      </c>
      <c r="M882" t="str">
        <f t="shared" si="14"/>
        <v>Middle Age</v>
      </c>
      <c r="N882" t="s">
        <v>17</v>
      </c>
    </row>
    <row r="883" spans="1:14" x14ac:dyDescent="0.3">
      <c r="A883">
        <v>11275</v>
      </c>
      <c r="B883" t="s">
        <v>37</v>
      </c>
      <c r="C883" t="s">
        <v>38</v>
      </c>
      <c r="D883" s="3">
        <v>80000</v>
      </c>
      <c r="E883">
        <v>4</v>
      </c>
      <c r="F883" t="s">
        <v>34</v>
      </c>
      <c r="G883" t="s">
        <v>31</v>
      </c>
      <c r="H883" t="s">
        <v>17</v>
      </c>
      <c r="I883">
        <v>2</v>
      </c>
      <c r="J883" t="s">
        <v>18</v>
      </c>
      <c r="K883" t="s">
        <v>35</v>
      </c>
      <c r="L883">
        <v>72</v>
      </c>
      <c r="M883" t="str">
        <f t="shared" si="14"/>
        <v>Old</v>
      </c>
      <c r="N883" t="s">
        <v>17</v>
      </c>
    </row>
    <row r="884" spans="1:14" x14ac:dyDescent="0.3">
      <c r="A884">
        <v>14872</v>
      </c>
      <c r="B884" t="s">
        <v>37</v>
      </c>
      <c r="C884" t="s">
        <v>39</v>
      </c>
      <c r="D884" s="3">
        <v>30000</v>
      </c>
      <c r="E884">
        <v>0</v>
      </c>
      <c r="F884" t="s">
        <v>34</v>
      </c>
      <c r="G884" t="s">
        <v>16</v>
      </c>
      <c r="H884" t="s">
        <v>17</v>
      </c>
      <c r="I884">
        <v>0</v>
      </c>
      <c r="J884" t="s">
        <v>18</v>
      </c>
      <c r="K884" t="s">
        <v>35</v>
      </c>
      <c r="L884">
        <v>32</v>
      </c>
      <c r="M884" t="str">
        <f t="shared" si="14"/>
        <v>Middle Age</v>
      </c>
      <c r="N884" t="s">
        <v>20</v>
      </c>
    </row>
    <row r="885" spans="1:14" x14ac:dyDescent="0.3">
      <c r="A885">
        <v>16151</v>
      </c>
      <c r="B885" t="s">
        <v>37</v>
      </c>
      <c r="C885" t="s">
        <v>38</v>
      </c>
      <c r="D885" s="3">
        <v>60000</v>
      </c>
      <c r="E885">
        <v>1</v>
      </c>
      <c r="F885" t="s">
        <v>15</v>
      </c>
      <c r="G885" t="s">
        <v>23</v>
      </c>
      <c r="H885" t="s">
        <v>17</v>
      </c>
      <c r="I885">
        <v>1</v>
      </c>
      <c r="J885" t="s">
        <v>24</v>
      </c>
      <c r="K885" t="s">
        <v>35</v>
      </c>
      <c r="L885">
        <v>48</v>
      </c>
      <c r="M885" t="str">
        <f t="shared" si="14"/>
        <v>Middle Age</v>
      </c>
      <c r="N885" t="s">
        <v>17</v>
      </c>
    </row>
    <row r="886" spans="1:14" x14ac:dyDescent="0.3">
      <c r="A886">
        <v>19731</v>
      </c>
      <c r="B886" t="s">
        <v>37</v>
      </c>
      <c r="C886" t="s">
        <v>39</v>
      </c>
      <c r="D886" s="3">
        <v>80000</v>
      </c>
      <c r="E886">
        <v>4</v>
      </c>
      <c r="F886" t="s">
        <v>34</v>
      </c>
      <c r="G886" t="s">
        <v>31</v>
      </c>
      <c r="H886" t="s">
        <v>17</v>
      </c>
      <c r="I886">
        <v>2</v>
      </c>
      <c r="J886" t="s">
        <v>26</v>
      </c>
      <c r="K886" t="s">
        <v>35</v>
      </c>
      <c r="L886">
        <v>68</v>
      </c>
      <c r="M886" t="str">
        <f t="shared" si="14"/>
        <v>Old</v>
      </c>
      <c r="N886" t="s">
        <v>20</v>
      </c>
    </row>
    <row r="887" spans="1:14" x14ac:dyDescent="0.3">
      <c r="A887">
        <v>23801</v>
      </c>
      <c r="B887" t="s">
        <v>37</v>
      </c>
      <c r="C887" t="s">
        <v>38</v>
      </c>
      <c r="D887" s="3">
        <v>20000</v>
      </c>
      <c r="E887">
        <v>2</v>
      </c>
      <c r="F887" t="s">
        <v>32</v>
      </c>
      <c r="G887" t="s">
        <v>22</v>
      </c>
      <c r="H887" t="s">
        <v>17</v>
      </c>
      <c r="I887">
        <v>2</v>
      </c>
      <c r="J887" t="s">
        <v>18</v>
      </c>
      <c r="K887" t="s">
        <v>35</v>
      </c>
      <c r="L887">
        <v>49</v>
      </c>
      <c r="M887" t="str">
        <f t="shared" si="14"/>
        <v>Middle Age</v>
      </c>
      <c r="N887" t="s">
        <v>20</v>
      </c>
    </row>
    <row r="888" spans="1:14" x14ac:dyDescent="0.3">
      <c r="A888">
        <v>11807</v>
      </c>
      <c r="B888" t="s">
        <v>37</v>
      </c>
      <c r="C888" t="s">
        <v>39</v>
      </c>
      <c r="D888" s="3">
        <v>70000</v>
      </c>
      <c r="E888">
        <v>3</v>
      </c>
      <c r="F888" t="s">
        <v>34</v>
      </c>
      <c r="G888" t="s">
        <v>23</v>
      </c>
      <c r="H888" t="s">
        <v>17</v>
      </c>
      <c r="I888">
        <v>0</v>
      </c>
      <c r="J888" t="s">
        <v>24</v>
      </c>
      <c r="K888" t="s">
        <v>35</v>
      </c>
      <c r="L888">
        <v>34</v>
      </c>
      <c r="M888" t="str">
        <f t="shared" si="14"/>
        <v>Middle Age</v>
      </c>
      <c r="N888" t="s">
        <v>20</v>
      </c>
    </row>
    <row r="889" spans="1:14" x14ac:dyDescent="0.3">
      <c r="A889">
        <v>11622</v>
      </c>
      <c r="B889" t="s">
        <v>37</v>
      </c>
      <c r="C889" t="s">
        <v>39</v>
      </c>
      <c r="D889" s="3">
        <v>50000</v>
      </c>
      <c r="E889">
        <v>0</v>
      </c>
      <c r="F889" t="s">
        <v>34</v>
      </c>
      <c r="G889" t="s">
        <v>16</v>
      </c>
      <c r="H889" t="s">
        <v>17</v>
      </c>
      <c r="I889">
        <v>0</v>
      </c>
      <c r="J889" t="s">
        <v>18</v>
      </c>
      <c r="K889" t="s">
        <v>35</v>
      </c>
      <c r="L889">
        <v>32</v>
      </c>
      <c r="M889" t="str">
        <f t="shared" si="14"/>
        <v>Middle Age</v>
      </c>
      <c r="N889" t="s">
        <v>20</v>
      </c>
    </row>
    <row r="890" spans="1:14" x14ac:dyDescent="0.3">
      <c r="A890">
        <v>26597</v>
      </c>
      <c r="B890" t="s">
        <v>40</v>
      </c>
      <c r="C890" t="s">
        <v>38</v>
      </c>
      <c r="D890" s="3">
        <v>60000</v>
      </c>
      <c r="E890">
        <v>4</v>
      </c>
      <c r="F890" t="s">
        <v>15</v>
      </c>
      <c r="G890" t="s">
        <v>16</v>
      </c>
      <c r="H890" t="s">
        <v>20</v>
      </c>
      <c r="I890">
        <v>2</v>
      </c>
      <c r="J890" t="s">
        <v>18</v>
      </c>
      <c r="K890" t="s">
        <v>35</v>
      </c>
      <c r="L890">
        <v>42</v>
      </c>
      <c r="M890" t="str">
        <f t="shared" si="14"/>
        <v>Middle Age</v>
      </c>
      <c r="N890" t="s">
        <v>20</v>
      </c>
    </row>
    <row r="891" spans="1:14" x14ac:dyDescent="0.3">
      <c r="A891">
        <v>27074</v>
      </c>
      <c r="B891" t="s">
        <v>37</v>
      </c>
      <c r="C891" t="s">
        <v>38</v>
      </c>
      <c r="D891" s="3">
        <v>70000</v>
      </c>
      <c r="E891">
        <v>1</v>
      </c>
      <c r="F891" t="s">
        <v>34</v>
      </c>
      <c r="G891" t="s">
        <v>16</v>
      </c>
      <c r="H891" t="s">
        <v>17</v>
      </c>
      <c r="I891">
        <v>0</v>
      </c>
      <c r="J891" t="s">
        <v>18</v>
      </c>
      <c r="K891" t="s">
        <v>35</v>
      </c>
      <c r="L891">
        <v>35</v>
      </c>
      <c r="M891" t="str">
        <f t="shared" si="14"/>
        <v>Middle Age</v>
      </c>
      <c r="N891" t="s">
        <v>17</v>
      </c>
    </row>
    <row r="892" spans="1:14" x14ac:dyDescent="0.3">
      <c r="A892">
        <v>19228</v>
      </c>
      <c r="B892" t="s">
        <v>37</v>
      </c>
      <c r="C892" t="s">
        <v>38</v>
      </c>
      <c r="D892" s="3">
        <v>40000</v>
      </c>
      <c r="E892">
        <v>2</v>
      </c>
      <c r="F892" t="s">
        <v>21</v>
      </c>
      <c r="G892" t="s">
        <v>22</v>
      </c>
      <c r="H892" t="s">
        <v>17</v>
      </c>
      <c r="I892">
        <v>1</v>
      </c>
      <c r="J892" t="s">
        <v>18</v>
      </c>
      <c r="K892" t="s">
        <v>35</v>
      </c>
      <c r="L892">
        <v>48</v>
      </c>
      <c r="M892" t="str">
        <f t="shared" si="14"/>
        <v>Middle Age</v>
      </c>
      <c r="N892" t="s">
        <v>20</v>
      </c>
    </row>
    <row r="893" spans="1:14" x14ac:dyDescent="0.3">
      <c r="A893">
        <v>13415</v>
      </c>
      <c r="B893" t="s">
        <v>40</v>
      </c>
      <c r="C893" t="s">
        <v>39</v>
      </c>
      <c r="D893" s="3">
        <v>100000</v>
      </c>
      <c r="E893">
        <v>1</v>
      </c>
      <c r="F893" t="s">
        <v>34</v>
      </c>
      <c r="G893" t="s">
        <v>31</v>
      </c>
      <c r="H893" t="s">
        <v>17</v>
      </c>
      <c r="I893">
        <v>3</v>
      </c>
      <c r="J893" t="s">
        <v>24</v>
      </c>
      <c r="K893" t="s">
        <v>35</v>
      </c>
      <c r="L893">
        <v>73</v>
      </c>
      <c r="M893" t="str">
        <f t="shared" si="14"/>
        <v>Old</v>
      </c>
      <c r="N893" t="s">
        <v>17</v>
      </c>
    </row>
    <row r="894" spans="1:14" x14ac:dyDescent="0.3">
      <c r="A894">
        <v>17000</v>
      </c>
      <c r="B894" t="s">
        <v>40</v>
      </c>
      <c r="C894" t="s">
        <v>38</v>
      </c>
      <c r="D894" s="3">
        <v>70000</v>
      </c>
      <c r="E894">
        <v>4</v>
      </c>
      <c r="F894" t="s">
        <v>15</v>
      </c>
      <c r="G894" t="s">
        <v>16</v>
      </c>
      <c r="H894" t="s">
        <v>17</v>
      </c>
      <c r="I894">
        <v>2</v>
      </c>
      <c r="J894" t="s">
        <v>24</v>
      </c>
      <c r="K894" t="s">
        <v>35</v>
      </c>
      <c r="L894">
        <v>43</v>
      </c>
      <c r="M894" t="str">
        <f t="shared" si="14"/>
        <v>Middle Age</v>
      </c>
      <c r="N894" t="s">
        <v>17</v>
      </c>
    </row>
    <row r="895" spans="1:14" x14ac:dyDescent="0.3">
      <c r="A895">
        <v>14569</v>
      </c>
      <c r="B895" t="s">
        <v>37</v>
      </c>
      <c r="C895" t="s">
        <v>39</v>
      </c>
      <c r="D895" s="3">
        <v>60000</v>
      </c>
      <c r="E895">
        <v>1</v>
      </c>
      <c r="F895" t="s">
        <v>34</v>
      </c>
      <c r="G895" t="s">
        <v>23</v>
      </c>
      <c r="H895" t="s">
        <v>17</v>
      </c>
      <c r="I895">
        <v>0</v>
      </c>
      <c r="J895" t="s">
        <v>18</v>
      </c>
      <c r="K895" t="s">
        <v>35</v>
      </c>
      <c r="L895">
        <v>35</v>
      </c>
      <c r="M895" t="str">
        <f t="shared" si="14"/>
        <v>Middle Age</v>
      </c>
      <c r="N895" t="s">
        <v>20</v>
      </c>
    </row>
    <row r="896" spans="1:14" x14ac:dyDescent="0.3">
      <c r="A896">
        <v>13873</v>
      </c>
      <c r="B896" t="s">
        <v>37</v>
      </c>
      <c r="C896" t="s">
        <v>39</v>
      </c>
      <c r="D896" s="3">
        <v>70000</v>
      </c>
      <c r="E896">
        <v>3</v>
      </c>
      <c r="F896" t="s">
        <v>34</v>
      </c>
      <c r="G896" t="s">
        <v>23</v>
      </c>
      <c r="H896" t="s">
        <v>17</v>
      </c>
      <c r="I896">
        <v>0</v>
      </c>
      <c r="J896" t="s">
        <v>18</v>
      </c>
      <c r="K896" t="s">
        <v>35</v>
      </c>
      <c r="L896">
        <v>35</v>
      </c>
      <c r="M896" t="str">
        <f t="shared" si="14"/>
        <v>Middle Age</v>
      </c>
      <c r="N896" t="s">
        <v>17</v>
      </c>
    </row>
    <row r="897" spans="1:14" x14ac:dyDescent="0.3">
      <c r="A897">
        <v>20401</v>
      </c>
      <c r="B897" t="s">
        <v>37</v>
      </c>
      <c r="C897" t="s">
        <v>38</v>
      </c>
      <c r="D897" s="3">
        <v>50000</v>
      </c>
      <c r="E897">
        <v>4</v>
      </c>
      <c r="F897" t="s">
        <v>15</v>
      </c>
      <c r="G897" t="s">
        <v>31</v>
      </c>
      <c r="H897" t="s">
        <v>17</v>
      </c>
      <c r="I897">
        <v>2</v>
      </c>
      <c r="J897" t="s">
        <v>29</v>
      </c>
      <c r="K897" t="s">
        <v>35</v>
      </c>
      <c r="L897">
        <v>64</v>
      </c>
      <c r="M897" t="str">
        <f t="shared" si="14"/>
        <v>Old</v>
      </c>
      <c r="N897" t="s">
        <v>17</v>
      </c>
    </row>
    <row r="898" spans="1:14" x14ac:dyDescent="0.3">
      <c r="A898">
        <v>21583</v>
      </c>
      <c r="B898" t="s">
        <v>37</v>
      </c>
      <c r="C898" t="s">
        <v>38</v>
      </c>
      <c r="D898" s="3">
        <v>50000</v>
      </c>
      <c r="E898">
        <v>1</v>
      </c>
      <c r="F898" t="s">
        <v>15</v>
      </c>
      <c r="G898" t="s">
        <v>16</v>
      </c>
      <c r="H898" t="s">
        <v>17</v>
      </c>
      <c r="I898">
        <v>0</v>
      </c>
      <c r="J898" t="s">
        <v>18</v>
      </c>
      <c r="K898" t="s">
        <v>35</v>
      </c>
      <c r="L898">
        <v>34</v>
      </c>
      <c r="M898" t="str">
        <f t="shared" si="14"/>
        <v>Middle Age</v>
      </c>
      <c r="N898" t="s">
        <v>17</v>
      </c>
    </row>
    <row r="899" spans="1:14" x14ac:dyDescent="0.3">
      <c r="A899">
        <v>12029</v>
      </c>
      <c r="B899" t="s">
        <v>37</v>
      </c>
      <c r="C899" t="s">
        <v>39</v>
      </c>
      <c r="D899" s="3">
        <v>30000</v>
      </c>
      <c r="E899">
        <v>0</v>
      </c>
      <c r="F899" t="s">
        <v>32</v>
      </c>
      <c r="G899" t="s">
        <v>22</v>
      </c>
      <c r="H899" t="s">
        <v>20</v>
      </c>
      <c r="I899">
        <v>2</v>
      </c>
      <c r="J899" t="s">
        <v>18</v>
      </c>
      <c r="K899" t="s">
        <v>35</v>
      </c>
      <c r="L899">
        <v>28</v>
      </c>
      <c r="M899" t="str">
        <f t="shared" ref="M899:M962" si="15">IF(L899&gt;54, "Old", IF(L899&gt;31,"Middle Age",IF(L899&lt;31,"Adolescent","Invalid")))</f>
        <v>Adolescent</v>
      </c>
      <c r="N899" t="s">
        <v>20</v>
      </c>
    </row>
    <row r="900" spans="1:14" x14ac:dyDescent="0.3">
      <c r="A900">
        <v>18066</v>
      </c>
      <c r="B900" t="s">
        <v>40</v>
      </c>
      <c r="C900" t="s">
        <v>39</v>
      </c>
      <c r="D900" s="3">
        <v>70000</v>
      </c>
      <c r="E900">
        <v>5</v>
      </c>
      <c r="F900" t="s">
        <v>15</v>
      </c>
      <c r="G900" t="s">
        <v>31</v>
      </c>
      <c r="H900" t="s">
        <v>17</v>
      </c>
      <c r="I900">
        <v>3</v>
      </c>
      <c r="J900" t="s">
        <v>41</v>
      </c>
      <c r="K900" t="s">
        <v>35</v>
      </c>
      <c r="L900">
        <v>60</v>
      </c>
      <c r="M900" t="str">
        <f t="shared" si="15"/>
        <v>Old</v>
      </c>
      <c r="N900" t="s">
        <v>17</v>
      </c>
    </row>
    <row r="901" spans="1:14" x14ac:dyDescent="0.3">
      <c r="A901">
        <v>28192</v>
      </c>
      <c r="B901" t="s">
        <v>37</v>
      </c>
      <c r="C901" t="s">
        <v>38</v>
      </c>
      <c r="D901" s="3">
        <v>70000</v>
      </c>
      <c r="E901">
        <v>5</v>
      </c>
      <c r="F901" t="s">
        <v>34</v>
      </c>
      <c r="G901" t="s">
        <v>23</v>
      </c>
      <c r="H901" t="s">
        <v>17</v>
      </c>
      <c r="I901">
        <v>3</v>
      </c>
      <c r="J901" t="s">
        <v>41</v>
      </c>
      <c r="K901" t="s">
        <v>35</v>
      </c>
      <c r="L901">
        <v>46</v>
      </c>
      <c r="M901" t="str">
        <f t="shared" si="15"/>
        <v>Middle Age</v>
      </c>
      <c r="N901" t="s">
        <v>20</v>
      </c>
    </row>
    <row r="902" spans="1:14" x14ac:dyDescent="0.3">
      <c r="A902">
        <v>16122</v>
      </c>
      <c r="B902" t="s">
        <v>37</v>
      </c>
      <c r="C902" t="s">
        <v>39</v>
      </c>
      <c r="D902" s="3">
        <v>40000</v>
      </c>
      <c r="E902">
        <v>4</v>
      </c>
      <c r="F902" t="s">
        <v>30</v>
      </c>
      <c r="G902" t="s">
        <v>16</v>
      </c>
      <c r="H902" t="s">
        <v>17</v>
      </c>
      <c r="I902">
        <v>2</v>
      </c>
      <c r="J902" t="s">
        <v>18</v>
      </c>
      <c r="K902" t="s">
        <v>35</v>
      </c>
      <c r="L902">
        <v>44</v>
      </c>
      <c r="M902" t="str">
        <f t="shared" si="15"/>
        <v>Middle Age</v>
      </c>
      <c r="N902" t="s">
        <v>17</v>
      </c>
    </row>
    <row r="903" spans="1:14" x14ac:dyDescent="0.3">
      <c r="A903">
        <v>18607</v>
      </c>
      <c r="B903" t="s">
        <v>40</v>
      </c>
      <c r="C903" t="s">
        <v>38</v>
      </c>
      <c r="D903" s="3">
        <v>60000</v>
      </c>
      <c r="E903">
        <v>4</v>
      </c>
      <c r="F903" t="s">
        <v>15</v>
      </c>
      <c r="G903" t="s">
        <v>16</v>
      </c>
      <c r="H903" t="s">
        <v>17</v>
      </c>
      <c r="I903">
        <v>2</v>
      </c>
      <c r="J903" t="s">
        <v>24</v>
      </c>
      <c r="K903" t="s">
        <v>35</v>
      </c>
      <c r="L903">
        <v>42</v>
      </c>
      <c r="M903" t="str">
        <f t="shared" si="15"/>
        <v>Middle Age</v>
      </c>
      <c r="N903" t="s">
        <v>17</v>
      </c>
    </row>
    <row r="904" spans="1:14" x14ac:dyDescent="0.3">
      <c r="A904">
        <v>28858</v>
      </c>
      <c r="B904" t="s">
        <v>40</v>
      </c>
      <c r="C904" t="s">
        <v>39</v>
      </c>
      <c r="D904" s="3">
        <v>80000</v>
      </c>
      <c r="E904">
        <v>3</v>
      </c>
      <c r="F904" t="s">
        <v>15</v>
      </c>
      <c r="G904" t="s">
        <v>16</v>
      </c>
      <c r="H904" t="s">
        <v>17</v>
      </c>
      <c r="I904">
        <v>0</v>
      </c>
      <c r="J904" t="s">
        <v>24</v>
      </c>
      <c r="K904" t="s">
        <v>35</v>
      </c>
      <c r="L904">
        <v>40</v>
      </c>
      <c r="M904" t="str">
        <f t="shared" si="15"/>
        <v>Middle Age</v>
      </c>
      <c r="N904" t="s">
        <v>20</v>
      </c>
    </row>
    <row r="905" spans="1:14" x14ac:dyDescent="0.3">
      <c r="A905">
        <v>14432</v>
      </c>
      <c r="B905" t="s">
        <v>40</v>
      </c>
      <c r="C905" t="s">
        <v>39</v>
      </c>
      <c r="D905" s="3">
        <v>90000</v>
      </c>
      <c r="E905">
        <v>4</v>
      </c>
      <c r="F905" t="s">
        <v>34</v>
      </c>
      <c r="G905" t="s">
        <v>31</v>
      </c>
      <c r="H905" t="s">
        <v>17</v>
      </c>
      <c r="I905">
        <v>1</v>
      </c>
      <c r="J905" t="s">
        <v>26</v>
      </c>
      <c r="K905" t="s">
        <v>35</v>
      </c>
      <c r="L905">
        <v>73</v>
      </c>
      <c r="M905" t="str">
        <f t="shared" si="15"/>
        <v>Old</v>
      </c>
      <c r="N905" t="s">
        <v>20</v>
      </c>
    </row>
    <row r="906" spans="1:14" x14ac:dyDescent="0.3">
      <c r="A906">
        <v>26305</v>
      </c>
      <c r="B906" t="s">
        <v>40</v>
      </c>
      <c r="C906" t="s">
        <v>38</v>
      </c>
      <c r="D906" s="3">
        <v>60000</v>
      </c>
      <c r="E906">
        <v>2</v>
      </c>
      <c r="F906" t="s">
        <v>15</v>
      </c>
      <c r="G906" t="s">
        <v>16</v>
      </c>
      <c r="H906" t="s">
        <v>20</v>
      </c>
      <c r="I906">
        <v>0</v>
      </c>
      <c r="J906" t="s">
        <v>18</v>
      </c>
      <c r="K906" t="s">
        <v>35</v>
      </c>
      <c r="L906">
        <v>36</v>
      </c>
      <c r="M906" t="str">
        <f t="shared" si="15"/>
        <v>Middle Age</v>
      </c>
      <c r="N906" t="s">
        <v>17</v>
      </c>
    </row>
    <row r="907" spans="1:14" x14ac:dyDescent="0.3">
      <c r="A907">
        <v>22050</v>
      </c>
      <c r="B907" t="s">
        <v>40</v>
      </c>
      <c r="C907" t="s">
        <v>39</v>
      </c>
      <c r="D907" s="3">
        <v>90000</v>
      </c>
      <c r="E907">
        <v>4</v>
      </c>
      <c r="F907" t="s">
        <v>15</v>
      </c>
      <c r="G907" t="s">
        <v>31</v>
      </c>
      <c r="H907" t="s">
        <v>17</v>
      </c>
      <c r="I907">
        <v>1</v>
      </c>
      <c r="J907" t="s">
        <v>29</v>
      </c>
      <c r="K907" t="s">
        <v>35</v>
      </c>
      <c r="L907">
        <v>38</v>
      </c>
      <c r="M907" t="str">
        <f t="shared" si="15"/>
        <v>Middle Age</v>
      </c>
      <c r="N907" t="s">
        <v>17</v>
      </c>
    </row>
    <row r="908" spans="1:14" x14ac:dyDescent="0.3">
      <c r="A908">
        <v>25394</v>
      </c>
      <c r="B908" t="s">
        <v>37</v>
      </c>
      <c r="C908" t="s">
        <v>39</v>
      </c>
      <c r="D908" s="3">
        <v>60000</v>
      </c>
      <c r="E908">
        <v>1</v>
      </c>
      <c r="F908" t="s">
        <v>34</v>
      </c>
      <c r="G908" t="s">
        <v>23</v>
      </c>
      <c r="H908" t="s">
        <v>17</v>
      </c>
      <c r="I908">
        <v>0</v>
      </c>
      <c r="J908" t="s">
        <v>24</v>
      </c>
      <c r="K908" t="s">
        <v>35</v>
      </c>
      <c r="L908">
        <v>34</v>
      </c>
      <c r="M908" t="str">
        <f t="shared" si="15"/>
        <v>Middle Age</v>
      </c>
      <c r="N908" t="s">
        <v>17</v>
      </c>
    </row>
    <row r="909" spans="1:14" x14ac:dyDescent="0.3">
      <c r="A909">
        <v>19747</v>
      </c>
      <c r="B909" t="s">
        <v>37</v>
      </c>
      <c r="C909" t="s">
        <v>39</v>
      </c>
      <c r="D909" s="3">
        <v>50000</v>
      </c>
      <c r="E909">
        <v>4</v>
      </c>
      <c r="F909" t="s">
        <v>15</v>
      </c>
      <c r="G909" t="s">
        <v>31</v>
      </c>
      <c r="H909" t="s">
        <v>17</v>
      </c>
      <c r="I909">
        <v>2</v>
      </c>
      <c r="J909" t="s">
        <v>41</v>
      </c>
      <c r="K909" t="s">
        <v>35</v>
      </c>
      <c r="L909">
        <v>63</v>
      </c>
      <c r="M909" t="str">
        <f t="shared" si="15"/>
        <v>Old</v>
      </c>
      <c r="N909" t="s">
        <v>20</v>
      </c>
    </row>
    <row r="910" spans="1:14" x14ac:dyDescent="0.3">
      <c r="A910">
        <v>23195</v>
      </c>
      <c r="B910" t="s">
        <v>40</v>
      </c>
      <c r="C910" t="s">
        <v>39</v>
      </c>
      <c r="D910" s="3">
        <v>50000</v>
      </c>
      <c r="E910">
        <v>3</v>
      </c>
      <c r="F910" t="s">
        <v>15</v>
      </c>
      <c r="G910" t="s">
        <v>16</v>
      </c>
      <c r="H910" t="s">
        <v>17</v>
      </c>
      <c r="I910">
        <v>2</v>
      </c>
      <c r="J910" t="s">
        <v>24</v>
      </c>
      <c r="K910" t="s">
        <v>35</v>
      </c>
      <c r="L910">
        <v>41</v>
      </c>
      <c r="M910" t="str">
        <f t="shared" si="15"/>
        <v>Middle Age</v>
      </c>
      <c r="N910" t="s">
        <v>17</v>
      </c>
    </row>
    <row r="911" spans="1:14" x14ac:dyDescent="0.3">
      <c r="A911">
        <v>21695</v>
      </c>
      <c r="B911" t="s">
        <v>37</v>
      </c>
      <c r="C911" t="s">
        <v>39</v>
      </c>
      <c r="D911" s="3">
        <v>60000</v>
      </c>
      <c r="E911">
        <v>0</v>
      </c>
      <c r="F911" t="s">
        <v>34</v>
      </c>
      <c r="G911" t="s">
        <v>16</v>
      </c>
      <c r="H911" t="s">
        <v>17</v>
      </c>
      <c r="I911">
        <v>0</v>
      </c>
      <c r="J911" t="s">
        <v>29</v>
      </c>
      <c r="K911" t="s">
        <v>35</v>
      </c>
      <c r="L911">
        <v>39</v>
      </c>
      <c r="M911" t="str">
        <f t="shared" si="15"/>
        <v>Middle Age</v>
      </c>
      <c r="N911" t="s">
        <v>17</v>
      </c>
    </row>
    <row r="912" spans="1:14" x14ac:dyDescent="0.3">
      <c r="A912">
        <v>13934</v>
      </c>
      <c r="B912" t="s">
        <v>37</v>
      </c>
      <c r="C912" t="s">
        <v>39</v>
      </c>
      <c r="D912" s="3">
        <v>40000</v>
      </c>
      <c r="E912">
        <v>4</v>
      </c>
      <c r="F912" t="s">
        <v>30</v>
      </c>
      <c r="G912" t="s">
        <v>16</v>
      </c>
      <c r="H912" t="s">
        <v>17</v>
      </c>
      <c r="I912">
        <v>2</v>
      </c>
      <c r="J912" t="s">
        <v>24</v>
      </c>
      <c r="K912" t="s">
        <v>35</v>
      </c>
      <c r="L912">
        <v>46</v>
      </c>
      <c r="M912" t="str">
        <f t="shared" si="15"/>
        <v>Middle Age</v>
      </c>
      <c r="N912" t="s">
        <v>20</v>
      </c>
    </row>
    <row r="913" spans="1:14" x14ac:dyDescent="0.3">
      <c r="A913">
        <v>13337</v>
      </c>
      <c r="B913" t="s">
        <v>37</v>
      </c>
      <c r="C913" t="s">
        <v>38</v>
      </c>
      <c r="D913" s="3">
        <v>80000</v>
      </c>
      <c r="E913">
        <v>5</v>
      </c>
      <c r="F913" t="s">
        <v>15</v>
      </c>
      <c r="G913" t="s">
        <v>31</v>
      </c>
      <c r="H913" t="s">
        <v>17</v>
      </c>
      <c r="I913">
        <v>2</v>
      </c>
      <c r="J913" t="s">
        <v>26</v>
      </c>
      <c r="K913" t="s">
        <v>35</v>
      </c>
      <c r="L913">
        <v>64</v>
      </c>
      <c r="M913" t="str">
        <f t="shared" si="15"/>
        <v>Old</v>
      </c>
      <c r="N913" t="s">
        <v>20</v>
      </c>
    </row>
    <row r="914" spans="1:14" x14ac:dyDescent="0.3">
      <c r="A914">
        <v>27190</v>
      </c>
      <c r="B914" t="s">
        <v>37</v>
      </c>
      <c r="C914" t="s">
        <v>38</v>
      </c>
      <c r="D914" s="3">
        <v>40000</v>
      </c>
      <c r="E914">
        <v>3</v>
      </c>
      <c r="F914" t="s">
        <v>21</v>
      </c>
      <c r="G914" t="s">
        <v>22</v>
      </c>
      <c r="H914" t="s">
        <v>17</v>
      </c>
      <c r="I914">
        <v>1</v>
      </c>
      <c r="J914" t="s">
        <v>29</v>
      </c>
      <c r="K914" t="s">
        <v>35</v>
      </c>
      <c r="L914">
        <v>32</v>
      </c>
      <c r="M914" t="str">
        <f t="shared" si="15"/>
        <v>Middle Age</v>
      </c>
      <c r="N914" t="s">
        <v>20</v>
      </c>
    </row>
    <row r="915" spans="1:14" x14ac:dyDescent="0.3">
      <c r="A915">
        <v>28657</v>
      </c>
      <c r="B915" t="s">
        <v>40</v>
      </c>
      <c r="C915" t="s">
        <v>39</v>
      </c>
      <c r="D915" s="3">
        <v>60000</v>
      </c>
      <c r="E915">
        <v>2</v>
      </c>
      <c r="F915" t="s">
        <v>15</v>
      </c>
      <c r="G915" t="s">
        <v>16</v>
      </c>
      <c r="H915" t="s">
        <v>17</v>
      </c>
      <c r="I915">
        <v>0</v>
      </c>
      <c r="J915" t="s">
        <v>24</v>
      </c>
      <c r="K915" t="s">
        <v>35</v>
      </c>
      <c r="L915">
        <v>36</v>
      </c>
      <c r="M915" t="str">
        <f t="shared" si="15"/>
        <v>Middle Age</v>
      </c>
      <c r="N915" t="s">
        <v>17</v>
      </c>
    </row>
    <row r="916" spans="1:14" x14ac:dyDescent="0.3">
      <c r="A916">
        <v>21713</v>
      </c>
      <c r="B916" t="s">
        <v>40</v>
      </c>
      <c r="C916" t="s">
        <v>39</v>
      </c>
      <c r="D916" s="3">
        <v>80000</v>
      </c>
      <c r="E916">
        <v>5</v>
      </c>
      <c r="F916" t="s">
        <v>34</v>
      </c>
      <c r="G916" t="s">
        <v>16</v>
      </c>
      <c r="H916" t="s">
        <v>20</v>
      </c>
      <c r="I916">
        <v>0</v>
      </c>
      <c r="J916" t="s">
        <v>18</v>
      </c>
      <c r="K916" t="s">
        <v>35</v>
      </c>
      <c r="L916">
        <v>47</v>
      </c>
      <c r="M916" t="str">
        <f t="shared" si="15"/>
        <v>Middle Age</v>
      </c>
      <c r="N916" t="s">
        <v>20</v>
      </c>
    </row>
    <row r="917" spans="1:14" x14ac:dyDescent="0.3">
      <c r="A917">
        <v>21752</v>
      </c>
      <c r="B917" t="s">
        <v>37</v>
      </c>
      <c r="C917" t="s">
        <v>39</v>
      </c>
      <c r="D917" s="3">
        <v>60000</v>
      </c>
      <c r="E917">
        <v>3</v>
      </c>
      <c r="F917" t="s">
        <v>34</v>
      </c>
      <c r="G917" t="s">
        <v>31</v>
      </c>
      <c r="H917" t="s">
        <v>17</v>
      </c>
      <c r="I917">
        <v>2</v>
      </c>
      <c r="J917" t="s">
        <v>41</v>
      </c>
      <c r="K917" t="s">
        <v>35</v>
      </c>
      <c r="L917">
        <v>64</v>
      </c>
      <c r="M917" t="str">
        <f t="shared" si="15"/>
        <v>Old</v>
      </c>
      <c r="N917" t="s">
        <v>20</v>
      </c>
    </row>
    <row r="918" spans="1:14" x14ac:dyDescent="0.3">
      <c r="A918">
        <v>27273</v>
      </c>
      <c r="B918" t="s">
        <v>40</v>
      </c>
      <c r="C918" t="s">
        <v>39</v>
      </c>
      <c r="D918" s="3">
        <v>70000</v>
      </c>
      <c r="E918">
        <v>3</v>
      </c>
      <c r="F918" t="s">
        <v>34</v>
      </c>
      <c r="G918" t="s">
        <v>23</v>
      </c>
      <c r="H918" t="s">
        <v>20</v>
      </c>
      <c r="I918">
        <v>0</v>
      </c>
      <c r="J918" t="s">
        <v>18</v>
      </c>
      <c r="K918" t="s">
        <v>35</v>
      </c>
      <c r="L918">
        <v>35</v>
      </c>
      <c r="M918" t="str">
        <f t="shared" si="15"/>
        <v>Middle Age</v>
      </c>
      <c r="N918" t="s">
        <v>17</v>
      </c>
    </row>
    <row r="919" spans="1:14" x14ac:dyDescent="0.3">
      <c r="A919">
        <v>22719</v>
      </c>
      <c r="B919" t="s">
        <v>40</v>
      </c>
      <c r="C919" t="s">
        <v>39</v>
      </c>
      <c r="D919" s="3">
        <v>110000</v>
      </c>
      <c r="E919">
        <v>3</v>
      </c>
      <c r="F919" t="s">
        <v>15</v>
      </c>
      <c r="G919" t="s">
        <v>31</v>
      </c>
      <c r="H919" t="s">
        <v>17</v>
      </c>
      <c r="I919">
        <v>4</v>
      </c>
      <c r="J919" t="s">
        <v>24</v>
      </c>
      <c r="K919" t="s">
        <v>35</v>
      </c>
      <c r="L919">
        <v>40</v>
      </c>
      <c r="M919" t="str">
        <f t="shared" si="15"/>
        <v>Middle Age</v>
      </c>
      <c r="N919" t="s">
        <v>17</v>
      </c>
    </row>
    <row r="920" spans="1:14" x14ac:dyDescent="0.3">
      <c r="A920">
        <v>22042</v>
      </c>
      <c r="B920" t="s">
        <v>37</v>
      </c>
      <c r="C920" t="s">
        <v>38</v>
      </c>
      <c r="D920" s="3">
        <v>70000</v>
      </c>
      <c r="E920">
        <v>0</v>
      </c>
      <c r="F920" t="s">
        <v>21</v>
      </c>
      <c r="G920" t="s">
        <v>16</v>
      </c>
      <c r="H920" t="s">
        <v>17</v>
      </c>
      <c r="I920">
        <v>2</v>
      </c>
      <c r="J920" t="s">
        <v>26</v>
      </c>
      <c r="K920" t="s">
        <v>35</v>
      </c>
      <c r="L920">
        <v>34</v>
      </c>
      <c r="M920" t="str">
        <f t="shared" si="15"/>
        <v>Middle Age</v>
      </c>
      <c r="N920" t="s">
        <v>17</v>
      </c>
    </row>
    <row r="921" spans="1:14" x14ac:dyDescent="0.3">
      <c r="A921">
        <v>21451</v>
      </c>
      <c r="B921" t="s">
        <v>37</v>
      </c>
      <c r="C921" t="s">
        <v>38</v>
      </c>
      <c r="D921" s="3">
        <v>40000</v>
      </c>
      <c r="E921">
        <v>4</v>
      </c>
      <c r="F921" t="s">
        <v>30</v>
      </c>
      <c r="G921" t="s">
        <v>23</v>
      </c>
      <c r="H921" t="s">
        <v>17</v>
      </c>
      <c r="I921">
        <v>2</v>
      </c>
      <c r="J921" t="s">
        <v>41</v>
      </c>
      <c r="K921" t="s">
        <v>35</v>
      </c>
      <c r="L921">
        <v>61</v>
      </c>
      <c r="M921" t="str">
        <f t="shared" si="15"/>
        <v>Old</v>
      </c>
      <c r="N921" t="s">
        <v>20</v>
      </c>
    </row>
    <row r="922" spans="1:14" x14ac:dyDescent="0.3">
      <c r="A922">
        <v>20754</v>
      </c>
      <c r="B922" t="s">
        <v>37</v>
      </c>
      <c r="C922" t="s">
        <v>39</v>
      </c>
      <c r="D922" s="3">
        <v>30000</v>
      </c>
      <c r="E922">
        <v>2</v>
      </c>
      <c r="F922" t="s">
        <v>30</v>
      </c>
      <c r="G922" t="s">
        <v>16</v>
      </c>
      <c r="H922" t="s">
        <v>17</v>
      </c>
      <c r="I922">
        <v>2</v>
      </c>
      <c r="J922" t="s">
        <v>29</v>
      </c>
      <c r="K922" t="s">
        <v>35</v>
      </c>
      <c r="L922">
        <v>51</v>
      </c>
      <c r="M922" t="str">
        <f t="shared" si="15"/>
        <v>Middle Age</v>
      </c>
      <c r="N922" t="s">
        <v>20</v>
      </c>
    </row>
    <row r="923" spans="1:14" x14ac:dyDescent="0.3">
      <c r="A923">
        <v>12153</v>
      </c>
      <c r="B923" t="s">
        <v>40</v>
      </c>
      <c r="C923" t="s">
        <v>38</v>
      </c>
      <c r="D923" s="3">
        <v>70000</v>
      </c>
      <c r="E923">
        <v>3</v>
      </c>
      <c r="F923" t="s">
        <v>21</v>
      </c>
      <c r="G923" t="s">
        <v>23</v>
      </c>
      <c r="H923" t="s">
        <v>17</v>
      </c>
      <c r="I923">
        <v>1</v>
      </c>
      <c r="J923" t="s">
        <v>26</v>
      </c>
      <c r="K923" t="s">
        <v>35</v>
      </c>
      <c r="L923">
        <v>49</v>
      </c>
      <c r="M923" t="str">
        <f t="shared" si="15"/>
        <v>Middle Age</v>
      </c>
      <c r="N923" t="s">
        <v>17</v>
      </c>
    </row>
    <row r="924" spans="1:14" x14ac:dyDescent="0.3">
      <c r="A924">
        <v>16895</v>
      </c>
      <c r="B924" t="s">
        <v>37</v>
      </c>
      <c r="C924" t="s">
        <v>38</v>
      </c>
      <c r="D924" s="3">
        <v>40000</v>
      </c>
      <c r="E924">
        <v>3</v>
      </c>
      <c r="F924" t="s">
        <v>21</v>
      </c>
      <c r="G924" t="s">
        <v>23</v>
      </c>
      <c r="H924" t="s">
        <v>20</v>
      </c>
      <c r="I924">
        <v>2</v>
      </c>
      <c r="J924" t="s">
        <v>29</v>
      </c>
      <c r="K924" t="s">
        <v>35</v>
      </c>
      <c r="L924">
        <v>54</v>
      </c>
      <c r="M924" t="str">
        <f t="shared" si="15"/>
        <v>Middle Age</v>
      </c>
      <c r="N924" t="s">
        <v>17</v>
      </c>
    </row>
    <row r="925" spans="1:14" x14ac:dyDescent="0.3">
      <c r="A925">
        <v>26728</v>
      </c>
      <c r="B925" t="s">
        <v>40</v>
      </c>
      <c r="C925" t="s">
        <v>39</v>
      </c>
      <c r="D925" s="3">
        <v>70000</v>
      </c>
      <c r="E925">
        <v>3</v>
      </c>
      <c r="F925" t="s">
        <v>34</v>
      </c>
      <c r="G925" t="s">
        <v>31</v>
      </c>
      <c r="H925" t="s">
        <v>20</v>
      </c>
      <c r="I925">
        <v>2</v>
      </c>
      <c r="J925" t="s">
        <v>29</v>
      </c>
      <c r="K925" t="s">
        <v>35</v>
      </c>
      <c r="L925">
        <v>53</v>
      </c>
      <c r="M925" t="str">
        <f t="shared" si="15"/>
        <v>Middle Age</v>
      </c>
      <c r="N925" t="s">
        <v>17</v>
      </c>
    </row>
    <row r="926" spans="1:14" x14ac:dyDescent="0.3">
      <c r="A926">
        <v>11090</v>
      </c>
      <c r="B926" t="s">
        <v>40</v>
      </c>
      <c r="C926" t="s">
        <v>39</v>
      </c>
      <c r="D926" s="3">
        <v>90000</v>
      </c>
      <c r="E926">
        <v>2</v>
      </c>
      <c r="F926" t="s">
        <v>21</v>
      </c>
      <c r="G926" t="s">
        <v>23</v>
      </c>
      <c r="H926" t="s">
        <v>17</v>
      </c>
      <c r="I926">
        <v>1</v>
      </c>
      <c r="J926" t="s">
        <v>24</v>
      </c>
      <c r="K926" t="s">
        <v>35</v>
      </c>
      <c r="L926">
        <v>48</v>
      </c>
      <c r="M926" t="str">
        <f t="shared" si="15"/>
        <v>Middle Age</v>
      </c>
      <c r="N926" t="s">
        <v>17</v>
      </c>
    </row>
    <row r="927" spans="1:14" x14ac:dyDescent="0.3">
      <c r="A927">
        <v>15862</v>
      </c>
      <c r="B927" t="s">
        <v>40</v>
      </c>
      <c r="C927" t="s">
        <v>38</v>
      </c>
      <c r="D927" s="3">
        <v>50000</v>
      </c>
      <c r="E927">
        <v>0</v>
      </c>
      <c r="F927" t="s">
        <v>34</v>
      </c>
      <c r="G927" t="s">
        <v>16</v>
      </c>
      <c r="H927" t="s">
        <v>17</v>
      </c>
      <c r="I927">
        <v>0</v>
      </c>
      <c r="J927" t="s">
        <v>29</v>
      </c>
      <c r="K927" t="s">
        <v>35</v>
      </c>
      <c r="L927">
        <v>33</v>
      </c>
      <c r="M927" t="str">
        <f t="shared" si="15"/>
        <v>Middle Age</v>
      </c>
      <c r="N927" t="s">
        <v>17</v>
      </c>
    </row>
    <row r="928" spans="1:14" x14ac:dyDescent="0.3">
      <c r="A928">
        <v>26495</v>
      </c>
      <c r="B928" t="s">
        <v>40</v>
      </c>
      <c r="C928" t="s">
        <v>38</v>
      </c>
      <c r="D928" s="3">
        <v>40000</v>
      </c>
      <c r="E928">
        <v>2</v>
      </c>
      <c r="F928" t="s">
        <v>30</v>
      </c>
      <c r="G928" t="s">
        <v>23</v>
      </c>
      <c r="H928" t="s">
        <v>17</v>
      </c>
      <c r="I928">
        <v>2</v>
      </c>
      <c r="J928" t="s">
        <v>41</v>
      </c>
      <c r="K928" t="s">
        <v>35</v>
      </c>
      <c r="L928">
        <v>57</v>
      </c>
      <c r="M928" t="str">
        <f t="shared" si="15"/>
        <v>Old</v>
      </c>
      <c r="N928" t="s">
        <v>20</v>
      </c>
    </row>
    <row r="929" spans="1:14" x14ac:dyDescent="0.3">
      <c r="A929">
        <v>11823</v>
      </c>
      <c r="B929" t="s">
        <v>37</v>
      </c>
      <c r="C929" t="s">
        <v>38</v>
      </c>
      <c r="D929" s="3">
        <v>70000</v>
      </c>
      <c r="E929">
        <v>0</v>
      </c>
      <c r="F929" t="s">
        <v>34</v>
      </c>
      <c r="G929" t="s">
        <v>23</v>
      </c>
      <c r="H929" t="s">
        <v>17</v>
      </c>
      <c r="I929">
        <v>0</v>
      </c>
      <c r="J929" t="s">
        <v>24</v>
      </c>
      <c r="K929" t="s">
        <v>35</v>
      </c>
      <c r="L929">
        <v>39</v>
      </c>
      <c r="M929" t="str">
        <f t="shared" si="15"/>
        <v>Middle Age</v>
      </c>
      <c r="N929" t="s">
        <v>20</v>
      </c>
    </row>
    <row r="930" spans="1:14" x14ac:dyDescent="0.3">
      <c r="A930">
        <v>23449</v>
      </c>
      <c r="B930" t="s">
        <v>37</v>
      </c>
      <c r="C930" t="s">
        <v>39</v>
      </c>
      <c r="D930" s="3">
        <v>60000</v>
      </c>
      <c r="E930">
        <v>2</v>
      </c>
      <c r="F930" t="s">
        <v>30</v>
      </c>
      <c r="G930" t="s">
        <v>23</v>
      </c>
      <c r="H930" t="s">
        <v>17</v>
      </c>
      <c r="I930">
        <v>2</v>
      </c>
      <c r="J930" t="s">
        <v>26</v>
      </c>
      <c r="K930" t="s">
        <v>35</v>
      </c>
      <c r="L930">
        <v>48</v>
      </c>
      <c r="M930" t="str">
        <f t="shared" si="15"/>
        <v>Middle Age</v>
      </c>
      <c r="N930" t="s">
        <v>20</v>
      </c>
    </row>
    <row r="931" spans="1:14" x14ac:dyDescent="0.3">
      <c r="A931">
        <v>23459</v>
      </c>
      <c r="B931" t="s">
        <v>37</v>
      </c>
      <c r="C931" t="s">
        <v>39</v>
      </c>
      <c r="D931" s="3">
        <v>60000</v>
      </c>
      <c r="E931">
        <v>2</v>
      </c>
      <c r="F931" t="s">
        <v>30</v>
      </c>
      <c r="G931" t="s">
        <v>23</v>
      </c>
      <c r="H931" t="s">
        <v>17</v>
      </c>
      <c r="I931">
        <v>2</v>
      </c>
      <c r="J931" t="s">
        <v>26</v>
      </c>
      <c r="K931" t="s">
        <v>35</v>
      </c>
      <c r="L931">
        <v>50</v>
      </c>
      <c r="M931" t="str">
        <f t="shared" si="15"/>
        <v>Middle Age</v>
      </c>
      <c r="N931" t="s">
        <v>20</v>
      </c>
    </row>
    <row r="932" spans="1:14" x14ac:dyDescent="0.3">
      <c r="A932">
        <v>19543</v>
      </c>
      <c r="B932" t="s">
        <v>37</v>
      </c>
      <c r="C932" t="s">
        <v>39</v>
      </c>
      <c r="D932" s="3">
        <v>70000</v>
      </c>
      <c r="E932">
        <v>5</v>
      </c>
      <c r="F932" t="s">
        <v>34</v>
      </c>
      <c r="G932" t="s">
        <v>23</v>
      </c>
      <c r="H932" t="s">
        <v>20</v>
      </c>
      <c r="I932">
        <v>3</v>
      </c>
      <c r="J932" t="s">
        <v>41</v>
      </c>
      <c r="K932" t="s">
        <v>35</v>
      </c>
      <c r="L932">
        <v>47</v>
      </c>
      <c r="M932" t="str">
        <f t="shared" si="15"/>
        <v>Middle Age</v>
      </c>
      <c r="N932" t="s">
        <v>20</v>
      </c>
    </row>
    <row r="933" spans="1:14" x14ac:dyDescent="0.3">
      <c r="A933">
        <v>14914</v>
      </c>
      <c r="B933" t="s">
        <v>37</v>
      </c>
      <c r="C933" t="s">
        <v>38</v>
      </c>
      <c r="D933" s="3">
        <v>40000</v>
      </c>
      <c r="E933">
        <v>1</v>
      </c>
      <c r="F933" t="s">
        <v>21</v>
      </c>
      <c r="G933" t="s">
        <v>22</v>
      </c>
      <c r="H933" t="s">
        <v>17</v>
      </c>
      <c r="I933">
        <v>1</v>
      </c>
      <c r="J933" t="s">
        <v>29</v>
      </c>
      <c r="K933" t="s">
        <v>35</v>
      </c>
      <c r="L933">
        <v>49</v>
      </c>
      <c r="M933" t="str">
        <f t="shared" si="15"/>
        <v>Middle Age</v>
      </c>
      <c r="N933" t="s">
        <v>17</v>
      </c>
    </row>
    <row r="934" spans="1:14" x14ac:dyDescent="0.3">
      <c r="A934">
        <v>12033</v>
      </c>
      <c r="B934" t="s">
        <v>40</v>
      </c>
      <c r="C934" t="s">
        <v>38</v>
      </c>
      <c r="D934" s="3">
        <v>40000</v>
      </c>
      <c r="E934">
        <v>0</v>
      </c>
      <c r="F934" t="s">
        <v>30</v>
      </c>
      <c r="G934" t="s">
        <v>16</v>
      </c>
      <c r="H934" t="s">
        <v>20</v>
      </c>
      <c r="I934">
        <v>2</v>
      </c>
      <c r="J934" t="s">
        <v>18</v>
      </c>
      <c r="K934" t="s">
        <v>35</v>
      </c>
      <c r="L934">
        <v>27</v>
      </c>
      <c r="M934" t="str">
        <f t="shared" si="15"/>
        <v>Adolescent</v>
      </c>
      <c r="N934" t="s">
        <v>17</v>
      </c>
    </row>
    <row r="935" spans="1:14" x14ac:dyDescent="0.3">
      <c r="A935">
        <v>11941</v>
      </c>
      <c r="B935" t="s">
        <v>40</v>
      </c>
      <c r="C935" t="s">
        <v>39</v>
      </c>
      <c r="D935" s="3">
        <v>60000</v>
      </c>
      <c r="E935">
        <v>0</v>
      </c>
      <c r="F935" t="s">
        <v>21</v>
      </c>
      <c r="G935" t="s">
        <v>16</v>
      </c>
      <c r="H935" t="s">
        <v>17</v>
      </c>
      <c r="I935">
        <v>0</v>
      </c>
      <c r="J935" t="s">
        <v>26</v>
      </c>
      <c r="K935" t="s">
        <v>35</v>
      </c>
      <c r="L935">
        <v>29</v>
      </c>
      <c r="M935" t="str">
        <f t="shared" si="15"/>
        <v>Adolescent</v>
      </c>
      <c r="N935" t="s">
        <v>20</v>
      </c>
    </row>
    <row r="936" spans="1:14" x14ac:dyDescent="0.3">
      <c r="A936">
        <v>14389</v>
      </c>
      <c r="B936" t="s">
        <v>37</v>
      </c>
      <c r="C936" t="s">
        <v>39</v>
      </c>
      <c r="D936" s="3">
        <v>60000</v>
      </c>
      <c r="E936">
        <v>2</v>
      </c>
      <c r="F936" t="s">
        <v>15</v>
      </c>
      <c r="G936" t="s">
        <v>31</v>
      </c>
      <c r="H936" t="s">
        <v>17</v>
      </c>
      <c r="I936">
        <v>0</v>
      </c>
      <c r="J936" t="s">
        <v>24</v>
      </c>
      <c r="K936" t="s">
        <v>35</v>
      </c>
      <c r="L936">
        <v>59</v>
      </c>
      <c r="M936" t="str">
        <f t="shared" si="15"/>
        <v>Old</v>
      </c>
      <c r="N936" t="s">
        <v>20</v>
      </c>
    </row>
    <row r="937" spans="1:14" x14ac:dyDescent="0.3">
      <c r="A937">
        <v>18050</v>
      </c>
      <c r="B937" t="s">
        <v>37</v>
      </c>
      <c r="C937" t="s">
        <v>38</v>
      </c>
      <c r="D937" s="3">
        <v>60000</v>
      </c>
      <c r="E937">
        <v>1</v>
      </c>
      <c r="F937" t="s">
        <v>21</v>
      </c>
      <c r="G937" t="s">
        <v>16</v>
      </c>
      <c r="H937" t="s">
        <v>17</v>
      </c>
      <c r="I937">
        <v>1</v>
      </c>
      <c r="J937" t="s">
        <v>18</v>
      </c>
      <c r="K937" t="s">
        <v>35</v>
      </c>
      <c r="L937">
        <v>45</v>
      </c>
      <c r="M937" t="str">
        <f t="shared" si="15"/>
        <v>Middle Age</v>
      </c>
      <c r="N937" t="s">
        <v>17</v>
      </c>
    </row>
    <row r="938" spans="1:14" x14ac:dyDescent="0.3">
      <c r="A938">
        <v>19856</v>
      </c>
      <c r="B938" t="s">
        <v>37</v>
      </c>
      <c r="C938" t="s">
        <v>38</v>
      </c>
      <c r="D938" s="3">
        <v>60000</v>
      </c>
      <c r="E938">
        <v>4</v>
      </c>
      <c r="F938" t="s">
        <v>15</v>
      </c>
      <c r="G938" t="s">
        <v>31</v>
      </c>
      <c r="H938" t="s">
        <v>17</v>
      </c>
      <c r="I938">
        <v>2</v>
      </c>
      <c r="J938" t="s">
        <v>24</v>
      </c>
      <c r="K938" t="s">
        <v>35</v>
      </c>
      <c r="L938">
        <v>60</v>
      </c>
      <c r="M938" t="str">
        <f t="shared" si="15"/>
        <v>Old</v>
      </c>
      <c r="N938" t="s">
        <v>20</v>
      </c>
    </row>
    <row r="939" spans="1:14" x14ac:dyDescent="0.3">
      <c r="A939">
        <v>11663</v>
      </c>
      <c r="B939" t="s">
        <v>37</v>
      </c>
      <c r="C939" t="s">
        <v>39</v>
      </c>
      <c r="D939" s="3">
        <v>70000</v>
      </c>
      <c r="E939">
        <v>4</v>
      </c>
      <c r="F939" t="s">
        <v>34</v>
      </c>
      <c r="G939" t="s">
        <v>23</v>
      </c>
      <c r="H939" t="s">
        <v>17</v>
      </c>
      <c r="I939">
        <v>0</v>
      </c>
      <c r="J939" t="s">
        <v>18</v>
      </c>
      <c r="K939" t="s">
        <v>35</v>
      </c>
      <c r="L939">
        <v>36</v>
      </c>
      <c r="M939" t="str">
        <f t="shared" si="15"/>
        <v>Middle Age</v>
      </c>
      <c r="N939" t="s">
        <v>17</v>
      </c>
    </row>
    <row r="940" spans="1:14" x14ac:dyDescent="0.3">
      <c r="A940">
        <v>27740</v>
      </c>
      <c r="B940" t="s">
        <v>37</v>
      </c>
      <c r="C940" t="s">
        <v>38</v>
      </c>
      <c r="D940" s="3">
        <v>40000</v>
      </c>
      <c r="E940">
        <v>0</v>
      </c>
      <c r="F940" t="s">
        <v>30</v>
      </c>
      <c r="G940" t="s">
        <v>16</v>
      </c>
      <c r="H940" t="s">
        <v>17</v>
      </c>
      <c r="I940">
        <v>2</v>
      </c>
      <c r="J940" t="s">
        <v>26</v>
      </c>
      <c r="K940" t="s">
        <v>35</v>
      </c>
      <c r="L940">
        <v>27</v>
      </c>
      <c r="M940" t="str">
        <f t="shared" si="15"/>
        <v>Adolescent</v>
      </c>
      <c r="N940" t="s">
        <v>20</v>
      </c>
    </row>
    <row r="941" spans="1:14" x14ac:dyDescent="0.3">
      <c r="A941">
        <v>23455</v>
      </c>
      <c r="B941" t="s">
        <v>40</v>
      </c>
      <c r="C941" t="s">
        <v>39</v>
      </c>
      <c r="D941" s="3">
        <v>80000</v>
      </c>
      <c r="E941">
        <v>2</v>
      </c>
      <c r="F941" t="s">
        <v>32</v>
      </c>
      <c r="G941" t="s">
        <v>16</v>
      </c>
      <c r="H941" t="s">
        <v>20</v>
      </c>
      <c r="I941">
        <v>2</v>
      </c>
      <c r="J941" t="s">
        <v>29</v>
      </c>
      <c r="K941" t="s">
        <v>35</v>
      </c>
      <c r="L941">
        <v>50</v>
      </c>
      <c r="M941" t="str">
        <f t="shared" si="15"/>
        <v>Middle Age</v>
      </c>
      <c r="N941" t="s">
        <v>20</v>
      </c>
    </row>
    <row r="942" spans="1:14" x14ac:dyDescent="0.3">
      <c r="A942">
        <v>15292</v>
      </c>
      <c r="B942" t="s">
        <v>40</v>
      </c>
      <c r="C942" t="s">
        <v>38</v>
      </c>
      <c r="D942" s="3">
        <v>60000</v>
      </c>
      <c r="E942">
        <v>1</v>
      </c>
      <c r="F942" t="s">
        <v>34</v>
      </c>
      <c r="G942" t="s">
        <v>16</v>
      </c>
      <c r="H942" t="s">
        <v>17</v>
      </c>
      <c r="I942">
        <v>0</v>
      </c>
      <c r="J942" t="s">
        <v>29</v>
      </c>
      <c r="K942" t="s">
        <v>35</v>
      </c>
      <c r="L942">
        <v>35</v>
      </c>
      <c r="M942" t="str">
        <f t="shared" si="15"/>
        <v>Middle Age</v>
      </c>
      <c r="N942" t="s">
        <v>20</v>
      </c>
    </row>
    <row r="943" spans="1:14" x14ac:dyDescent="0.3">
      <c r="A943">
        <v>21587</v>
      </c>
      <c r="B943" t="s">
        <v>37</v>
      </c>
      <c r="C943" t="s">
        <v>38</v>
      </c>
      <c r="D943" s="3">
        <v>60000</v>
      </c>
      <c r="E943">
        <v>1</v>
      </c>
      <c r="F943" t="s">
        <v>34</v>
      </c>
      <c r="G943" t="s">
        <v>16</v>
      </c>
      <c r="H943" t="s">
        <v>17</v>
      </c>
      <c r="I943">
        <v>0</v>
      </c>
      <c r="J943" t="s">
        <v>24</v>
      </c>
      <c r="K943" t="s">
        <v>35</v>
      </c>
      <c r="L943">
        <v>34</v>
      </c>
      <c r="M943" t="str">
        <f t="shared" si="15"/>
        <v>Middle Age</v>
      </c>
      <c r="N943" t="s">
        <v>17</v>
      </c>
    </row>
    <row r="944" spans="1:14" x14ac:dyDescent="0.3">
      <c r="A944">
        <v>23513</v>
      </c>
      <c r="B944" t="s">
        <v>37</v>
      </c>
      <c r="C944" t="s">
        <v>38</v>
      </c>
      <c r="D944" s="3">
        <v>40000</v>
      </c>
      <c r="E944">
        <v>3</v>
      </c>
      <c r="F944" t="s">
        <v>21</v>
      </c>
      <c r="G944" t="s">
        <v>23</v>
      </c>
      <c r="H944" t="s">
        <v>17</v>
      </c>
      <c r="I944">
        <v>2</v>
      </c>
      <c r="J944" t="s">
        <v>26</v>
      </c>
      <c r="K944" t="s">
        <v>35</v>
      </c>
      <c r="L944">
        <v>54</v>
      </c>
      <c r="M944" t="str">
        <f t="shared" si="15"/>
        <v>Middle Age</v>
      </c>
      <c r="N944" t="s">
        <v>20</v>
      </c>
    </row>
    <row r="945" spans="1:14" x14ac:dyDescent="0.3">
      <c r="A945">
        <v>24322</v>
      </c>
      <c r="B945" t="s">
        <v>37</v>
      </c>
      <c r="C945" t="s">
        <v>38</v>
      </c>
      <c r="D945" s="3">
        <v>60000</v>
      </c>
      <c r="E945">
        <v>4</v>
      </c>
      <c r="F945" t="s">
        <v>15</v>
      </c>
      <c r="G945" t="s">
        <v>16</v>
      </c>
      <c r="H945" t="s">
        <v>20</v>
      </c>
      <c r="I945">
        <v>2</v>
      </c>
      <c r="J945" t="s">
        <v>18</v>
      </c>
      <c r="K945" t="s">
        <v>35</v>
      </c>
      <c r="L945">
        <v>42</v>
      </c>
      <c r="M945" t="str">
        <f t="shared" si="15"/>
        <v>Middle Age</v>
      </c>
      <c r="N945" t="s">
        <v>20</v>
      </c>
    </row>
    <row r="946" spans="1:14" x14ac:dyDescent="0.3">
      <c r="A946">
        <v>26298</v>
      </c>
      <c r="B946" t="s">
        <v>37</v>
      </c>
      <c r="C946" t="s">
        <v>38</v>
      </c>
      <c r="D946" s="3">
        <v>50000</v>
      </c>
      <c r="E946">
        <v>1</v>
      </c>
      <c r="F946" t="s">
        <v>15</v>
      </c>
      <c r="G946" t="s">
        <v>16</v>
      </c>
      <c r="H946" t="s">
        <v>17</v>
      </c>
      <c r="I946">
        <v>0</v>
      </c>
      <c r="J946" t="s">
        <v>24</v>
      </c>
      <c r="K946" t="s">
        <v>35</v>
      </c>
      <c r="L946">
        <v>34</v>
      </c>
      <c r="M946" t="str">
        <f t="shared" si="15"/>
        <v>Middle Age</v>
      </c>
      <c r="N946" t="s">
        <v>17</v>
      </c>
    </row>
    <row r="947" spans="1:14" x14ac:dyDescent="0.3">
      <c r="A947">
        <v>25419</v>
      </c>
      <c r="B947" t="s">
        <v>40</v>
      </c>
      <c r="C947" t="s">
        <v>39</v>
      </c>
      <c r="D947" s="3">
        <v>50000</v>
      </c>
      <c r="E947">
        <v>2</v>
      </c>
      <c r="F947" t="s">
        <v>15</v>
      </c>
      <c r="G947" t="s">
        <v>16</v>
      </c>
      <c r="H947" t="s">
        <v>20</v>
      </c>
      <c r="I947">
        <v>1</v>
      </c>
      <c r="J947" t="s">
        <v>18</v>
      </c>
      <c r="K947" t="s">
        <v>35</v>
      </c>
      <c r="L947">
        <v>38</v>
      </c>
      <c r="M947" t="str">
        <f t="shared" si="15"/>
        <v>Middle Age</v>
      </c>
      <c r="N947" t="s">
        <v>17</v>
      </c>
    </row>
    <row r="948" spans="1:14" x14ac:dyDescent="0.3">
      <c r="A948">
        <v>13343</v>
      </c>
      <c r="B948" t="s">
        <v>37</v>
      </c>
      <c r="C948" t="s">
        <v>38</v>
      </c>
      <c r="D948" s="3">
        <v>90000</v>
      </c>
      <c r="E948">
        <v>5</v>
      </c>
      <c r="F948" t="s">
        <v>15</v>
      </c>
      <c r="G948" t="s">
        <v>31</v>
      </c>
      <c r="H948" t="s">
        <v>17</v>
      </c>
      <c r="I948">
        <v>2</v>
      </c>
      <c r="J948" t="s">
        <v>29</v>
      </c>
      <c r="K948" t="s">
        <v>35</v>
      </c>
      <c r="L948">
        <v>63</v>
      </c>
      <c r="M948" t="str">
        <f t="shared" si="15"/>
        <v>Old</v>
      </c>
      <c r="N948" t="s">
        <v>17</v>
      </c>
    </row>
    <row r="949" spans="1:14" x14ac:dyDescent="0.3">
      <c r="A949">
        <v>11303</v>
      </c>
      <c r="B949" t="s">
        <v>40</v>
      </c>
      <c r="C949" t="s">
        <v>38</v>
      </c>
      <c r="D949" s="3">
        <v>90000</v>
      </c>
      <c r="E949">
        <v>4</v>
      </c>
      <c r="F949" t="s">
        <v>30</v>
      </c>
      <c r="G949" t="s">
        <v>23</v>
      </c>
      <c r="H949" t="s">
        <v>20</v>
      </c>
      <c r="I949">
        <v>3</v>
      </c>
      <c r="J949" t="s">
        <v>29</v>
      </c>
      <c r="K949" t="s">
        <v>35</v>
      </c>
      <c r="L949">
        <v>45</v>
      </c>
      <c r="M949" t="str">
        <f t="shared" si="15"/>
        <v>Middle Age</v>
      </c>
      <c r="N949" t="s">
        <v>17</v>
      </c>
    </row>
    <row r="950" spans="1:14" x14ac:dyDescent="0.3">
      <c r="A950">
        <v>21693</v>
      </c>
      <c r="B950" t="s">
        <v>40</v>
      </c>
      <c r="C950" t="s">
        <v>38</v>
      </c>
      <c r="D950" s="3">
        <v>60000</v>
      </c>
      <c r="E950">
        <v>0</v>
      </c>
      <c r="F950" t="s">
        <v>34</v>
      </c>
      <c r="G950" t="s">
        <v>16</v>
      </c>
      <c r="H950" t="s">
        <v>20</v>
      </c>
      <c r="I950">
        <v>0</v>
      </c>
      <c r="J950" t="s">
        <v>18</v>
      </c>
      <c r="K950" t="s">
        <v>35</v>
      </c>
      <c r="L950">
        <v>40</v>
      </c>
      <c r="M950" t="str">
        <f t="shared" si="15"/>
        <v>Middle Age</v>
      </c>
      <c r="N950" t="s">
        <v>20</v>
      </c>
    </row>
    <row r="951" spans="1:14" x14ac:dyDescent="0.3">
      <c r="A951">
        <v>28056</v>
      </c>
      <c r="B951" t="s">
        <v>37</v>
      </c>
      <c r="C951" t="s">
        <v>39</v>
      </c>
      <c r="D951" s="3">
        <v>70000</v>
      </c>
      <c r="E951">
        <v>2</v>
      </c>
      <c r="F951" t="s">
        <v>32</v>
      </c>
      <c r="G951" t="s">
        <v>16</v>
      </c>
      <c r="H951" t="s">
        <v>17</v>
      </c>
      <c r="I951">
        <v>2</v>
      </c>
      <c r="J951" t="s">
        <v>41</v>
      </c>
      <c r="K951" t="s">
        <v>35</v>
      </c>
      <c r="L951">
        <v>53</v>
      </c>
      <c r="M951" t="str">
        <f t="shared" si="15"/>
        <v>Middle Age</v>
      </c>
      <c r="N951" t="s">
        <v>20</v>
      </c>
    </row>
    <row r="952" spans="1:14" x14ac:dyDescent="0.3">
      <c r="A952">
        <v>11788</v>
      </c>
      <c r="B952" t="s">
        <v>40</v>
      </c>
      <c r="C952" t="s">
        <v>38</v>
      </c>
      <c r="D952" s="3">
        <v>70000</v>
      </c>
      <c r="E952">
        <v>1</v>
      </c>
      <c r="F952" t="s">
        <v>34</v>
      </c>
      <c r="G952" t="s">
        <v>23</v>
      </c>
      <c r="H952" t="s">
        <v>17</v>
      </c>
      <c r="I952">
        <v>0</v>
      </c>
      <c r="J952" t="s">
        <v>24</v>
      </c>
      <c r="K952" t="s">
        <v>35</v>
      </c>
      <c r="L952">
        <v>34</v>
      </c>
      <c r="M952" t="str">
        <f t="shared" si="15"/>
        <v>Middle Age</v>
      </c>
      <c r="N952" t="s">
        <v>20</v>
      </c>
    </row>
    <row r="953" spans="1:14" x14ac:dyDescent="0.3">
      <c r="A953">
        <v>22296</v>
      </c>
      <c r="B953" t="s">
        <v>37</v>
      </c>
      <c r="C953" t="s">
        <v>39</v>
      </c>
      <c r="D953" s="3">
        <v>70000</v>
      </c>
      <c r="E953">
        <v>0</v>
      </c>
      <c r="F953" t="s">
        <v>15</v>
      </c>
      <c r="G953" t="s">
        <v>23</v>
      </c>
      <c r="H953" t="s">
        <v>20</v>
      </c>
      <c r="I953">
        <v>1</v>
      </c>
      <c r="J953" t="s">
        <v>18</v>
      </c>
      <c r="K953" t="s">
        <v>35</v>
      </c>
      <c r="L953">
        <v>38</v>
      </c>
      <c r="M953" t="str">
        <f t="shared" si="15"/>
        <v>Middle Age</v>
      </c>
      <c r="N953" t="s">
        <v>20</v>
      </c>
    </row>
    <row r="954" spans="1:14" x14ac:dyDescent="0.3">
      <c r="A954">
        <v>15319</v>
      </c>
      <c r="B954" t="s">
        <v>37</v>
      </c>
      <c r="C954" t="s">
        <v>38</v>
      </c>
      <c r="D954" s="3">
        <v>70000</v>
      </c>
      <c r="E954">
        <v>4</v>
      </c>
      <c r="F954" t="s">
        <v>15</v>
      </c>
      <c r="G954" t="s">
        <v>31</v>
      </c>
      <c r="H954" t="s">
        <v>20</v>
      </c>
      <c r="I954">
        <v>1</v>
      </c>
      <c r="J954" t="s">
        <v>29</v>
      </c>
      <c r="K954" t="s">
        <v>35</v>
      </c>
      <c r="L954">
        <v>59</v>
      </c>
      <c r="M954" t="str">
        <f t="shared" si="15"/>
        <v>Old</v>
      </c>
      <c r="N954" t="s">
        <v>20</v>
      </c>
    </row>
    <row r="955" spans="1:14" x14ac:dyDescent="0.3">
      <c r="A955">
        <v>17654</v>
      </c>
      <c r="B955" t="s">
        <v>40</v>
      </c>
      <c r="C955" t="s">
        <v>38</v>
      </c>
      <c r="D955" s="3">
        <v>40000</v>
      </c>
      <c r="E955">
        <v>3</v>
      </c>
      <c r="F955" t="s">
        <v>21</v>
      </c>
      <c r="G955" t="s">
        <v>22</v>
      </c>
      <c r="H955" t="s">
        <v>17</v>
      </c>
      <c r="I955">
        <v>1</v>
      </c>
      <c r="J955" t="s">
        <v>29</v>
      </c>
      <c r="K955" t="s">
        <v>35</v>
      </c>
      <c r="L955">
        <v>30</v>
      </c>
      <c r="M955" t="str">
        <f t="shared" si="15"/>
        <v>Adolescent</v>
      </c>
      <c r="N955" t="s">
        <v>17</v>
      </c>
    </row>
    <row r="956" spans="1:14" x14ac:dyDescent="0.3">
      <c r="A956">
        <v>14662</v>
      </c>
      <c r="B956" t="s">
        <v>37</v>
      </c>
      <c r="C956" t="s">
        <v>39</v>
      </c>
      <c r="D956" s="3">
        <v>60000</v>
      </c>
      <c r="E956">
        <v>1</v>
      </c>
      <c r="F956" t="s">
        <v>15</v>
      </c>
      <c r="G956" t="s">
        <v>23</v>
      </c>
      <c r="H956" t="s">
        <v>17</v>
      </c>
      <c r="I956">
        <v>1</v>
      </c>
      <c r="J956" t="s">
        <v>18</v>
      </c>
      <c r="K956" t="s">
        <v>35</v>
      </c>
      <c r="L956">
        <v>48</v>
      </c>
      <c r="M956" t="str">
        <f t="shared" si="15"/>
        <v>Middle Age</v>
      </c>
      <c r="N956" t="s">
        <v>17</v>
      </c>
    </row>
    <row r="957" spans="1:14" x14ac:dyDescent="0.3">
      <c r="A957">
        <v>17541</v>
      </c>
      <c r="B957" t="s">
        <v>37</v>
      </c>
      <c r="C957" t="s">
        <v>38</v>
      </c>
      <c r="D957" s="3">
        <v>40000</v>
      </c>
      <c r="E957">
        <v>4</v>
      </c>
      <c r="F957" t="s">
        <v>30</v>
      </c>
      <c r="G957" t="s">
        <v>16</v>
      </c>
      <c r="H957" t="s">
        <v>17</v>
      </c>
      <c r="I957">
        <v>2</v>
      </c>
      <c r="J957" t="s">
        <v>24</v>
      </c>
      <c r="K957" t="s">
        <v>35</v>
      </c>
      <c r="L957">
        <v>43</v>
      </c>
      <c r="M957" t="str">
        <f t="shared" si="15"/>
        <v>Middle Age</v>
      </c>
      <c r="N957" t="s">
        <v>20</v>
      </c>
    </row>
    <row r="958" spans="1:14" x14ac:dyDescent="0.3">
      <c r="A958">
        <v>13886</v>
      </c>
      <c r="B958" t="s">
        <v>37</v>
      </c>
      <c r="C958" t="s">
        <v>38</v>
      </c>
      <c r="D958" s="3">
        <v>70000</v>
      </c>
      <c r="E958">
        <v>4</v>
      </c>
      <c r="F958" t="s">
        <v>34</v>
      </c>
      <c r="G958" t="s">
        <v>23</v>
      </c>
      <c r="H958" t="s">
        <v>17</v>
      </c>
      <c r="I958">
        <v>0</v>
      </c>
      <c r="J958" t="s">
        <v>24</v>
      </c>
      <c r="K958" t="s">
        <v>35</v>
      </c>
      <c r="L958">
        <v>35</v>
      </c>
      <c r="M958" t="str">
        <f t="shared" si="15"/>
        <v>Middle Age</v>
      </c>
      <c r="N958" t="s">
        <v>17</v>
      </c>
    </row>
    <row r="959" spans="1:14" x14ac:dyDescent="0.3">
      <c r="A959">
        <v>13073</v>
      </c>
      <c r="B959" t="s">
        <v>37</v>
      </c>
      <c r="C959" t="s">
        <v>38</v>
      </c>
      <c r="D959" s="3">
        <v>60000</v>
      </c>
      <c r="E959">
        <v>0</v>
      </c>
      <c r="F959" t="s">
        <v>21</v>
      </c>
      <c r="G959" t="s">
        <v>23</v>
      </c>
      <c r="H959" t="s">
        <v>17</v>
      </c>
      <c r="I959">
        <v>2</v>
      </c>
      <c r="J959" t="s">
        <v>26</v>
      </c>
      <c r="K959" t="s">
        <v>35</v>
      </c>
      <c r="L959">
        <v>30</v>
      </c>
      <c r="M959" t="str">
        <f t="shared" si="15"/>
        <v>Adolescent</v>
      </c>
      <c r="N959" t="s">
        <v>20</v>
      </c>
    </row>
    <row r="960" spans="1:14" x14ac:dyDescent="0.3">
      <c r="A960">
        <v>21940</v>
      </c>
      <c r="B960" t="s">
        <v>37</v>
      </c>
      <c r="C960" t="s">
        <v>39</v>
      </c>
      <c r="D960" s="3">
        <v>90000</v>
      </c>
      <c r="E960">
        <v>5</v>
      </c>
      <c r="F960" t="s">
        <v>34</v>
      </c>
      <c r="G960" t="s">
        <v>23</v>
      </c>
      <c r="H960" t="s">
        <v>17</v>
      </c>
      <c r="I960">
        <v>0</v>
      </c>
      <c r="J960" t="s">
        <v>18</v>
      </c>
      <c r="K960" t="s">
        <v>35</v>
      </c>
      <c r="L960">
        <v>47</v>
      </c>
      <c r="M960" t="str">
        <f t="shared" si="15"/>
        <v>Middle Age</v>
      </c>
      <c r="N960" t="s">
        <v>17</v>
      </c>
    </row>
    <row r="961" spans="1:14" x14ac:dyDescent="0.3">
      <c r="A961">
        <v>20196</v>
      </c>
      <c r="B961" t="s">
        <v>37</v>
      </c>
      <c r="C961" t="s">
        <v>39</v>
      </c>
      <c r="D961" s="3">
        <v>60000</v>
      </c>
      <c r="E961">
        <v>1</v>
      </c>
      <c r="F961" t="s">
        <v>21</v>
      </c>
      <c r="G961" t="s">
        <v>16</v>
      </c>
      <c r="H961" t="s">
        <v>17</v>
      </c>
      <c r="I961">
        <v>1</v>
      </c>
      <c r="J961" t="s">
        <v>24</v>
      </c>
      <c r="K961" t="s">
        <v>35</v>
      </c>
      <c r="L961">
        <v>45</v>
      </c>
      <c r="M961" t="str">
        <f t="shared" si="15"/>
        <v>Middle Age</v>
      </c>
      <c r="N961" t="s">
        <v>17</v>
      </c>
    </row>
    <row r="962" spans="1:14" x14ac:dyDescent="0.3">
      <c r="A962">
        <v>23491</v>
      </c>
      <c r="B962" t="s">
        <v>40</v>
      </c>
      <c r="C962" t="s">
        <v>39</v>
      </c>
      <c r="D962" s="3">
        <v>100000</v>
      </c>
      <c r="E962">
        <v>0</v>
      </c>
      <c r="F962" t="s">
        <v>21</v>
      </c>
      <c r="G962" t="s">
        <v>23</v>
      </c>
      <c r="H962" t="s">
        <v>20</v>
      </c>
      <c r="I962">
        <v>4</v>
      </c>
      <c r="J962" t="s">
        <v>29</v>
      </c>
      <c r="K962" t="s">
        <v>35</v>
      </c>
      <c r="L962">
        <v>45</v>
      </c>
      <c r="M962" t="str">
        <f t="shared" si="15"/>
        <v>Middle Age</v>
      </c>
      <c r="N962" t="s">
        <v>20</v>
      </c>
    </row>
    <row r="963" spans="1:14" x14ac:dyDescent="0.3">
      <c r="A963">
        <v>16651</v>
      </c>
      <c r="B963" t="s">
        <v>37</v>
      </c>
      <c r="C963" t="s">
        <v>38</v>
      </c>
      <c r="D963" s="3">
        <v>120000</v>
      </c>
      <c r="E963">
        <v>2</v>
      </c>
      <c r="F963" t="s">
        <v>15</v>
      </c>
      <c r="G963" t="s">
        <v>31</v>
      </c>
      <c r="H963" t="s">
        <v>17</v>
      </c>
      <c r="I963">
        <v>3</v>
      </c>
      <c r="J963" t="s">
        <v>26</v>
      </c>
      <c r="K963" t="s">
        <v>35</v>
      </c>
      <c r="L963">
        <v>62</v>
      </c>
      <c r="M963" t="str">
        <f t="shared" ref="M963:M1001" si="16">IF(L963&gt;54, "Old", IF(L963&gt;31,"Middle Age",IF(L963&lt;31,"Adolescent","Invalid")))</f>
        <v>Old</v>
      </c>
      <c r="N963" t="s">
        <v>20</v>
      </c>
    </row>
    <row r="964" spans="1:14" x14ac:dyDescent="0.3">
      <c r="A964">
        <v>16813</v>
      </c>
      <c r="B964" t="s">
        <v>37</v>
      </c>
      <c r="C964" t="s">
        <v>39</v>
      </c>
      <c r="D964" s="3">
        <v>60000</v>
      </c>
      <c r="E964">
        <v>2</v>
      </c>
      <c r="F964" t="s">
        <v>21</v>
      </c>
      <c r="G964" t="s">
        <v>23</v>
      </c>
      <c r="H964" t="s">
        <v>17</v>
      </c>
      <c r="I964">
        <v>2</v>
      </c>
      <c r="J964" t="s">
        <v>41</v>
      </c>
      <c r="K964" t="s">
        <v>35</v>
      </c>
      <c r="L964">
        <v>55</v>
      </c>
      <c r="M964" t="str">
        <f t="shared" si="16"/>
        <v>Old</v>
      </c>
      <c r="N964" t="s">
        <v>20</v>
      </c>
    </row>
    <row r="965" spans="1:14" x14ac:dyDescent="0.3">
      <c r="A965">
        <v>16007</v>
      </c>
      <c r="B965" t="s">
        <v>37</v>
      </c>
      <c r="C965" t="s">
        <v>38</v>
      </c>
      <c r="D965" s="3">
        <v>90000</v>
      </c>
      <c r="E965">
        <v>5</v>
      </c>
      <c r="F965" t="s">
        <v>15</v>
      </c>
      <c r="G965" t="s">
        <v>31</v>
      </c>
      <c r="H965" t="s">
        <v>17</v>
      </c>
      <c r="I965">
        <v>2</v>
      </c>
      <c r="J965" t="s">
        <v>29</v>
      </c>
      <c r="K965" t="s">
        <v>35</v>
      </c>
      <c r="L965">
        <v>66</v>
      </c>
      <c r="M965" t="str">
        <f t="shared" si="16"/>
        <v>Old</v>
      </c>
      <c r="N965" t="s">
        <v>17</v>
      </c>
    </row>
    <row r="966" spans="1:14" x14ac:dyDescent="0.3">
      <c r="A966">
        <v>27434</v>
      </c>
      <c r="B966" t="s">
        <v>40</v>
      </c>
      <c r="C966" t="s">
        <v>39</v>
      </c>
      <c r="D966" s="3">
        <v>70000</v>
      </c>
      <c r="E966">
        <v>4</v>
      </c>
      <c r="F966" t="s">
        <v>21</v>
      </c>
      <c r="G966" t="s">
        <v>23</v>
      </c>
      <c r="H966" t="s">
        <v>17</v>
      </c>
      <c r="I966">
        <v>1</v>
      </c>
      <c r="J966" t="s">
        <v>41</v>
      </c>
      <c r="K966" t="s">
        <v>35</v>
      </c>
      <c r="L966">
        <v>56</v>
      </c>
      <c r="M966" t="str">
        <f t="shared" si="16"/>
        <v>Old</v>
      </c>
      <c r="N966" t="s">
        <v>20</v>
      </c>
    </row>
    <row r="967" spans="1:14" x14ac:dyDescent="0.3">
      <c r="A967">
        <v>27756</v>
      </c>
      <c r="B967" t="s">
        <v>40</v>
      </c>
      <c r="C967" t="s">
        <v>38</v>
      </c>
      <c r="D967" s="3">
        <v>50000</v>
      </c>
      <c r="E967">
        <v>3</v>
      </c>
      <c r="F967" t="s">
        <v>15</v>
      </c>
      <c r="G967" t="s">
        <v>16</v>
      </c>
      <c r="H967" t="s">
        <v>20</v>
      </c>
      <c r="I967">
        <v>1</v>
      </c>
      <c r="J967" t="s">
        <v>18</v>
      </c>
      <c r="K967" t="s">
        <v>35</v>
      </c>
      <c r="L967">
        <v>40</v>
      </c>
      <c r="M967" t="str">
        <f t="shared" si="16"/>
        <v>Middle Age</v>
      </c>
      <c r="N967" t="s">
        <v>20</v>
      </c>
    </row>
    <row r="968" spans="1:14" x14ac:dyDescent="0.3">
      <c r="A968">
        <v>23818</v>
      </c>
      <c r="B968" t="s">
        <v>37</v>
      </c>
      <c r="C968" t="s">
        <v>38</v>
      </c>
      <c r="D968" s="3">
        <v>50000</v>
      </c>
      <c r="E968">
        <v>0</v>
      </c>
      <c r="F968" t="s">
        <v>34</v>
      </c>
      <c r="G968" t="s">
        <v>16</v>
      </c>
      <c r="H968" t="s">
        <v>17</v>
      </c>
      <c r="I968">
        <v>0</v>
      </c>
      <c r="J968" t="s">
        <v>29</v>
      </c>
      <c r="K968" t="s">
        <v>35</v>
      </c>
      <c r="L968">
        <v>33</v>
      </c>
      <c r="M968" t="str">
        <f t="shared" si="16"/>
        <v>Middle Age</v>
      </c>
      <c r="N968" t="s">
        <v>17</v>
      </c>
    </row>
    <row r="969" spans="1:14" x14ac:dyDescent="0.3">
      <c r="A969">
        <v>19012</v>
      </c>
      <c r="B969" t="s">
        <v>37</v>
      </c>
      <c r="C969" t="s">
        <v>39</v>
      </c>
      <c r="D969" s="3">
        <v>80000</v>
      </c>
      <c r="E969">
        <v>3</v>
      </c>
      <c r="F969" t="s">
        <v>15</v>
      </c>
      <c r="G969" t="s">
        <v>31</v>
      </c>
      <c r="H969" t="s">
        <v>17</v>
      </c>
      <c r="I969">
        <v>1</v>
      </c>
      <c r="J969" t="s">
        <v>29</v>
      </c>
      <c r="K969" t="s">
        <v>35</v>
      </c>
      <c r="L969">
        <v>56</v>
      </c>
      <c r="M969" t="str">
        <f t="shared" si="16"/>
        <v>Old</v>
      </c>
      <c r="N969" t="s">
        <v>20</v>
      </c>
    </row>
    <row r="970" spans="1:14" x14ac:dyDescent="0.3">
      <c r="A970">
        <v>18329</v>
      </c>
      <c r="B970" t="s">
        <v>40</v>
      </c>
      <c r="C970" t="s">
        <v>39</v>
      </c>
      <c r="D970" s="3">
        <v>30000</v>
      </c>
      <c r="E970">
        <v>0</v>
      </c>
      <c r="F970" t="s">
        <v>32</v>
      </c>
      <c r="G970" t="s">
        <v>22</v>
      </c>
      <c r="H970" t="s">
        <v>20</v>
      </c>
      <c r="I970">
        <v>2</v>
      </c>
      <c r="J970" t="s">
        <v>26</v>
      </c>
      <c r="K970" t="s">
        <v>35</v>
      </c>
      <c r="L970">
        <v>27</v>
      </c>
      <c r="M970" t="str">
        <f t="shared" si="16"/>
        <v>Adolescent</v>
      </c>
      <c r="N970" t="s">
        <v>20</v>
      </c>
    </row>
    <row r="971" spans="1:14" x14ac:dyDescent="0.3">
      <c r="A971">
        <v>29037</v>
      </c>
      <c r="B971" t="s">
        <v>37</v>
      </c>
      <c r="C971" t="s">
        <v>39</v>
      </c>
      <c r="D971" s="3">
        <v>60000</v>
      </c>
      <c r="E971">
        <v>0</v>
      </c>
      <c r="F971" t="s">
        <v>34</v>
      </c>
      <c r="G971" t="s">
        <v>23</v>
      </c>
      <c r="H971" t="s">
        <v>20</v>
      </c>
      <c r="I971">
        <v>0</v>
      </c>
      <c r="J971" t="s">
        <v>18</v>
      </c>
      <c r="K971" t="s">
        <v>35</v>
      </c>
      <c r="L971">
        <v>39</v>
      </c>
      <c r="M971" t="str">
        <f t="shared" si="16"/>
        <v>Middle Age</v>
      </c>
      <c r="N971" t="s">
        <v>20</v>
      </c>
    </row>
    <row r="972" spans="1:14" x14ac:dyDescent="0.3">
      <c r="A972">
        <v>26576</v>
      </c>
      <c r="B972" t="s">
        <v>37</v>
      </c>
      <c r="C972" t="s">
        <v>38</v>
      </c>
      <c r="D972" s="3">
        <v>60000</v>
      </c>
      <c r="E972">
        <v>0</v>
      </c>
      <c r="F972" t="s">
        <v>21</v>
      </c>
      <c r="G972" t="s">
        <v>16</v>
      </c>
      <c r="H972" t="s">
        <v>17</v>
      </c>
      <c r="I972">
        <v>2</v>
      </c>
      <c r="J972" t="s">
        <v>26</v>
      </c>
      <c r="K972" t="s">
        <v>35</v>
      </c>
      <c r="L972">
        <v>31</v>
      </c>
      <c r="M972" t="str">
        <f>IF(L972&gt;54, "Old", IF(L972&gt;30,"Middle Age",IF(L972&lt;31,"Adolescent","Invalid")))</f>
        <v>Middle Age</v>
      </c>
      <c r="N972" t="s">
        <v>20</v>
      </c>
    </row>
    <row r="973" spans="1:14" x14ac:dyDescent="0.3">
      <c r="A973">
        <v>12192</v>
      </c>
      <c r="B973" t="s">
        <v>40</v>
      </c>
      <c r="C973" t="s">
        <v>38</v>
      </c>
      <c r="D973" s="3">
        <v>60000</v>
      </c>
      <c r="E973">
        <v>2</v>
      </c>
      <c r="F973" t="s">
        <v>32</v>
      </c>
      <c r="G973" t="s">
        <v>16</v>
      </c>
      <c r="H973" t="s">
        <v>20</v>
      </c>
      <c r="I973">
        <v>2</v>
      </c>
      <c r="J973" t="s">
        <v>29</v>
      </c>
      <c r="K973" t="s">
        <v>35</v>
      </c>
      <c r="L973">
        <v>51</v>
      </c>
      <c r="M973" t="str">
        <f t="shared" si="16"/>
        <v>Middle Age</v>
      </c>
      <c r="N973" t="s">
        <v>20</v>
      </c>
    </row>
    <row r="974" spans="1:14" x14ac:dyDescent="0.3">
      <c r="A974">
        <v>14887</v>
      </c>
      <c r="B974" t="s">
        <v>37</v>
      </c>
      <c r="C974" t="s">
        <v>38</v>
      </c>
      <c r="D974" s="3">
        <v>30000</v>
      </c>
      <c r="E974">
        <v>1</v>
      </c>
      <c r="F974" t="s">
        <v>30</v>
      </c>
      <c r="G974" t="s">
        <v>22</v>
      </c>
      <c r="H974" t="s">
        <v>17</v>
      </c>
      <c r="I974">
        <v>1</v>
      </c>
      <c r="J974" t="s">
        <v>26</v>
      </c>
      <c r="K974" t="s">
        <v>35</v>
      </c>
      <c r="L974">
        <v>52</v>
      </c>
      <c r="M974" t="str">
        <f t="shared" si="16"/>
        <v>Middle Age</v>
      </c>
      <c r="N974" t="s">
        <v>20</v>
      </c>
    </row>
    <row r="975" spans="1:14" x14ac:dyDescent="0.3">
      <c r="A975">
        <v>11734</v>
      </c>
      <c r="B975" t="s">
        <v>37</v>
      </c>
      <c r="C975" t="s">
        <v>39</v>
      </c>
      <c r="D975" s="3">
        <v>60000</v>
      </c>
      <c r="E975">
        <v>1</v>
      </c>
      <c r="F975" t="s">
        <v>21</v>
      </c>
      <c r="G975" t="s">
        <v>16</v>
      </c>
      <c r="H975" t="s">
        <v>20</v>
      </c>
      <c r="I975">
        <v>1</v>
      </c>
      <c r="J975" t="s">
        <v>18</v>
      </c>
      <c r="K975" t="s">
        <v>35</v>
      </c>
      <c r="L975">
        <v>47</v>
      </c>
      <c r="M975" t="str">
        <f t="shared" si="16"/>
        <v>Middle Age</v>
      </c>
      <c r="N975" t="s">
        <v>20</v>
      </c>
    </row>
    <row r="976" spans="1:14" x14ac:dyDescent="0.3">
      <c r="A976">
        <v>17462</v>
      </c>
      <c r="B976" t="s">
        <v>37</v>
      </c>
      <c r="C976" t="s">
        <v>39</v>
      </c>
      <c r="D976" s="3">
        <v>70000</v>
      </c>
      <c r="E976">
        <v>3</v>
      </c>
      <c r="F976" t="s">
        <v>34</v>
      </c>
      <c r="G976" t="s">
        <v>31</v>
      </c>
      <c r="H976" t="s">
        <v>17</v>
      </c>
      <c r="I976">
        <v>2</v>
      </c>
      <c r="J976" t="s">
        <v>26</v>
      </c>
      <c r="K976" t="s">
        <v>35</v>
      </c>
      <c r="L976">
        <v>53</v>
      </c>
      <c r="M976" t="str">
        <f t="shared" si="16"/>
        <v>Middle Age</v>
      </c>
      <c r="N976" t="s">
        <v>17</v>
      </c>
    </row>
    <row r="977" spans="1:14" x14ac:dyDescent="0.3">
      <c r="A977">
        <v>20659</v>
      </c>
      <c r="B977" t="s">
        <v>37</v>
      </c>
      <c r="C977" t="s">
        <v>39</v>
      </c>
      <c r="D977" s="3">
        <v>70000</v>
      </c>
      <c r="E977">
        <v>3</v>
      </c>
      <c r="F977" t="s">
        <v>34</v>
      </c>
      <c r="G977" t="s">
        <v>23</v>
      </c>
      <c r="H977" t="s">
        <v>17</v>
      </c>
      <c r="I977">
        <v>0</v>
      </c>
      <c r="J977" t="s">
        <v>18</v>
      </c>
      <c r="K977" t="s">
        <v>35</v>
      </c>
      <c r="L977">
        <v>35</v>
      </c>
      <c r="M977" t="str">
        <f t="shared" si="16"/>
        <v>Middle Age</v>
      </c>
      <c r="N977" t="s">
        <v>17</v>
      </c>
    </row>
    <row r="978" spans="1:14" x14ac:dyDescent="0.3">
      <c r="A978">
        <v>28004</v>
      </c>
      <c r="B978" t="s">
        <v>37</v>
      </c>
      <c r="C978" t="s">
        <v>38</v>
      </c>
      <c r="D978" s="3">
        <v>60000</v>
      </c>
      <c r="E978">
        <v>3</v>
      </c>
      <c r="F978" t="s">
        <v>15</v>
      </c>
      <c r="G978" t="s">
        <v>31</v>
      </c>
      <c r="H978" t="s">
        <v>17</v>
      </c>
      <c r="I978">
        <v>2</v>
      </c>
      <c r="J978" t="s">
        <v>41</v>
      </c>
      <c r="K978" t="s">
        <v>35</v>
      </c>
      <c r="L978">
        <v>66</v>
      </c>
      <c r="M978" t="str">
        <f t="shared" si="16"/>
        <v>Old</v>
      </c>
      <c r="N978" t="s">
        <v>20</v>
      </c>
    </row>
    <row r="979" spans="1:14" x14ac:dyDescent="0.3">
      <c r="A979">
        <v>19741</v>
      </c>
      <c r="B979" t="s">
        <v>40</v>
      </c>
      <c r="C979" t="s">
        <v>38</v>
      </c>
      <c r="D979" s="3">
        <v>80000</v>
      </c>
      <c r="E979">
        <v>4</v>
      </c>
      <c r="F979" t="s">
        <v>34</v>
      </c>
      <c r="G979" t="s">
        <v>31</v>
      </c>
      <c r="H979" t="s">
        <v>17</v>
      </c>
      <c r="I979">
        <v>2</v>
      </c>
      <c r="J979" t="s">
        <v>26</v>
      </c>
      <c r="K979" t="s">
        <v>35</v>
      </c>
      <c r="L979">
        <v>65</v>
      </c>
      <c r="M979" t="str">
        <f t="shared" si="16"/>
        <v>Old</v>
      </c>
      <c r="N979" t="s">
        <v>20</v>
      </c>
    </row>
    <row r="980" spans="1:14" x14ac:dyDescent="0.3">
      <c r="A980">
        <v>17450</v>
      </c>
      <c r="B980" t="s">
        <v>37</v>
      </c>
      <c r="C980" t="s">
        <v>39</v>
      </c>
      <c r="D980" s="3">
        <v>80000</v>
      </c>
      <c r="E980">
        <v>5</v>
      </c>
      <c r="F980" t="s">
        <v>21</v>
      </c>
      <c r="G980" t="s">
        <v>23</v>
      </c>
      <c r="H980" t="s">
        <v>17</v>
      </c>
      <c r="I980">
        <v>3</v>
      </c>
      <c r="J980" t="s">
        <v>26</v>
      </c>
      <c r="K980" t="s">
        <v>35</v>
      </c>
      <c r="L980">
        <v>45</v>
      </c>
      <c r="M980" t="str">
        <f t="shared" si="16"/>
        <v>Middle Age</v>
      </c>
      <c r="N980" t="s">
        <v>20</v>
      </c>
    </row>
    <row r="981" spans="1:14" x14ac:dyDescent="0.3">
      <c r="A981">
        <v>17337</v>
      </c>
      <c r="B981" t="s">
        <v>40</v>
      </c>
      <c r="C981" t="s">
        <v>39</v>
      </c>
      <c r="D981" s="3">
        <v>40000</v>
      </c>
      <c r="E981">
        <v>0</v>
      </c>
      <c r="F981" t="s">
        <v>30</v>
      </c>
      <c r="G981" t="s">
        <v>16</v>
      </c>
      <c r="H981" t="s">
        <v>17</v>
      </c>
      <c r="I981">
        <v>1</v>
      </c>
      <c r="J981" t="s">
        <v>26</v>
      </c>
      <c r="K981" t="s">
        <v>35</v>
      </c>
      <c r="L981">
        <v>31</v>
      </c>
      <c r="M981" t="str">
        <f>IF(L981&gt;54, "Old", IF(L981&gt;30,"Middle Age",IF(L981&lt;31,"Adolescent","Invalid")))</f>
        <v>Middle Age</v>
      </c>
      <c r="N981" t="s">
        <v>20</v>
      </c>
    </row>
    <row r="982" spans="1:14" x14ac:dyDescent="0.3">
      <c r="A982">
        <v>18594</v>
      </c>
      <c r="B982" t="s">
        <v>40</v>
      </c>
      <c r="C982" t="s">
        <v>38</v>
      </c>
      <c r="D982" s="3">
        <v>80000</v>
      </c>
      <c r="E982">
        <v>3</v>
      </c>
      <c r="F982" t="s">
        <v>15</v>
      </c>
      <c r="G982" t="s">
        <v>16</v>
      </c>
      <c r="H982" t="s">
        <v>17</v>
      </c>
      <c r="I982">
        <v>3</v>
      </c>
      <c r="J982" t="s">
        <v>41</v>
      </c>
      <c r="K982" t="s">
        <v>35</v>
      </c>
      <c r="L982">
        <v>40</v>
      </c>
      <c r="M982" t="str">
        <f t="shared" si="16"/>
        <v>Middle Age</v>
      </c>
      <c r="N982" t="s">
        <v>17</v>
      </c>
    </row>
    <row r="983" spans="1:14" x14ac:dyDescent="0.3">
      <c r="A983">
        <v>15982</v>
      </c>
      <c r="B983" t="s">
        <v>37</v>
      </c>
      <c r="C983" t="s">
        <v>39</v>
      </c>
      <c r="D983" s="3">
        <v>110000</v>
      </c>
      <c r="E983">
        <v>5</v>
      </c>
      <c r="F983" t="s">
        <v>21</v>
      </c>
      <c r="G983" t="s">
        <v>23</v>
      </c>
      <c r="H983" t="s">
        <v>17</v>
      </c>
      <c r="I983">
        <v>4</v>
      </c>
      <c r="J983" t="s">
        <v>24</v>
      </c>
      <c r="K983" t="s">
        <v>35</v>
      </c>
      <c r="L983">
        <v>46</v>
      </c>
      <c r="M983" t="str">
        <f t="shared" si="16"/>
        <v>Middle Age</v>
      </c>
      <c r="N983" t="s">
        <v>20</v>
      </c>
    </row>
    <row r="984" spans="1:14" x14ac:dyDescent="0.3">
      <c r="A984">
        <v>28625</v>
      </c>
      <c r="B984" t="s">
        <v>40</v>
      </c>
      <c r="C984" t="s">
        <v>39</v>
      </c>
      <c r="D984" s="3">
        <v>40000</v>
      </c>
      <c r="E984">
        <v>2</v>
      </c>
      <c r="F984" t="s">
        <v>21</v>
      </c>
      <c r="G984" t="s">
        <v>22</v>
      </c>
      <c r="H984" t="s">
        <v>20</v>
      </c>
      <c r="I984">
        <v>1</v>
      </c>
      <c r="J984" t="s">
        <v>29</v>
      </c>
      <c r="K984" t="s">
        <v>35</v>
      </c>
      <c r="L984">
        <v>47</v>
      </c>
      <c r="M984" t="str">
        <f t="shared" si="16"/>
        <v>Middle Age</v>
      </c>
      <c r="N984" t="s">
        <v>17</v>
      </c>
    </row>
    <row r="985" spans="1:14" x14ac:dyDescent="0.3">
      <c r="A985">
        <v>11269</v>
      </c>
      <c r="B985" t="s">
        <v>37</v>
      </c>
      <c r="C985" t="s">
        <v>39</v>
      </c>
      <c r="D985" s="3">
        <v>130000</v>
      </c>
      <c r="E985">
        <v>2</v>
      </c>
      <c r="F985" t="s">
        <v>34</v>
      </c>
      <c r="G985" t="s">
        <v>31</v>
      </c>
      <c r="H985" t="s">
        <v>17</v>
      </c>
      <c r="I985">
        <v>2</v>
      </c>
      <c r="J985" t="s">
        <v>18</v>
      </c>
      <c r="K985" t="s">
        <v>35</v>
      </c>
      <c r="L985">
        <v>41</v>
      </c>
      <c r="M985" t="str">
        <f t="shared" si="16"/>
        <v>Middle Age</v>
      </c>
      <c r="N985" t="s">
        <v>20</v>
      </c>
    </row>
    <row r="986" spans="1:14" x14ac:dyDescent="0.3">
      <c r="A986">
        <v>25148</v>
      </c>
      <c r="B986" t="s">
        <v>37</v>
      </c>
      <c r="C986" t="s">
        <v>39</v>
      </c>
      <c r="D986" s="3">
        <v>60000</v>
      </c>
      <c r="E986">
        <v>2</v>
      </c>
      <c r="F986" t="s">
        <v>30</v>
      </c>
      <c r="G986" t="s">
        <v>23</v>
      </c>
      <c r="H986" t="s">
        <v>20</v>
      </c>
      <c r="I986">
        <v>2</v>
      </c>
      <c r="J986" t="s">
        <v>29</v>
      </c>
      <c r="K986" t="s">
        <v>35</v>
      </c>
      <c r="L986">
        <v>48</v>
      </c>
      <c r="M986" t="str">
        <f t="shared" si="16"/>
        <v>Middle Age</v>
      </c>
      <c r="N986" t="s">
        <v>17</v>
      </c>
    </row>
    <row r="987" spans="1:14" x14ac:dyDescent="0.3">
      <c r="A987">
        <v>13920</v>
      </c>
      <c r="B987" t="s">
        <v>40</v>
      </c>
      <c r="C987" t="s">
        <v>38</v>
      </c>
      <c r="D987" s="3">
        <v>50000</v>
      </c>
      <c r="E987">
        <v>4</v>
      </c>
      <c r="F987" t="s">
        <v>15</v>
      </c>
      <c r="G987" t="s">
        <v>16</v>
      </c>
      <c r="H987" t="s">
        <v>17</v>
      </c>
      <c r="I987">
        <v>2</v>
      </c>
      <c r="J987" t="s">
        <v>18</v>
      </c>
      <c r="K987" t="s">
        <v>35</v>
      </c>
      <c r="L987">
        <v>42</v>
      </c>
      <c r="M987" t="str">
        <f t="shared" si="16"/>
        <v>Middle Age</v>
      </c>
      <c r="N987" t="s">
        <v>20</v>
      </c>
    </row>
    <row r="988" spans="1:14" x14ac:dyDescent="0.3">
      <c r="A988">
        <v>23704</v>
      </c>
      <c r="B988" t="s">
        <v>40</v>
      </c>
      <c r="C988" t="s">
        <v>39</v>
      </c>
      <c r="D988" s="3">
        <v>40000</v>
      </c>
      <c r="E988">
        <v>5</v>
      </c>
      <c r="F988" t="s">
        <v>30</v>
      </c>
      <c r="G988" t="s">
        <v>23</v>
      </c>
      <c r="H988" t="s">
        <v>17</v>
      </c>
      <c r="I988">
        <v>4</v>
      </c>
      <c r="J988" t="s">
        <v>41</v>
      </c>
      <c r="K988" t="s">
        <v>35</v>
      </c>
      <c r="L988">
        <v>60</v>
      </c>
      <c r="M988" t="str">
        <f t="shared" si="16"/>
        <v>Old</v>
      </c>
      <c r="N988" t="s">
        <v>17</v>
      </c>
    </row>
    <row r="989" spans="1:14" x14ac:dyDescent="0.3">
      <c r="A989">
        <v>28972</v>
      </c>
      <c r="B989" t="s">
        <v>40</v>
      </c>
      <c r="C989" t="s">
        <v>38</v>
      </c>
      <c r="D989" s="3">
        <v>60000</v>
      </c>
      <c r="E989">
        <v>3</v>
      </c>
      <c r="F989" t="s">
        <v>34</v>
      </c>
      <c r="G989" t="s">
        <v>31</v>
      </c>
      <c r="H989" t="s">
        <v>17</v>
      </c>
      <c r="I989">
        <v>2</v>
      </c>
      <c r="J989" t="s">
        <v>41</v>
      </c>
      <c r="K989" t="s">
        <v>35</v>
      </c>
      <c r="L989">
        <v>66</v>
      </c>
      <c r="M989" t="str">
        <f t="shared" si="16"/>
        <v>Old</v>
      </c>
      <c r="N989" t="s">
        <v>20</v>
      </c>
    </row>
    <row r="990" spans="1:14" x14ac:dyDescent="0.3">
      <c r="A990">
        <v>22730</v>
      </c>
      <c r="B990" t="s">
        <v>37</v>
      </c>
      <c r="C990" t="s">
        <v>39</v>
      </c>
      <c r="D990" s="3">
        <v>70000</v>
      </c>
      <c r="E990">
        <v>5</v>
      </c>
      <c r="F990" t="s">
        <v>15</v>
      </c>
      <c r="G990" t="s">
        <v>31</v>
      </c>
      <c r="H990" t="s">
        <v>17</v>
      </c>
      <c r="I990">
        <v>2</v>
      </c>
      <c r="J990" t="s">
        <v>41</v>
      </c>
      <c r="K990" t="s">
        <v>35</v>
      </c>
      <c r="L990">
        <v>63</v>
      </c>
      <c r="M990" t="str">
        <f t="shared" si="16"/>
        <v>Old</v>
      </c>
      <c r="N990" t="s">
        <v>20</v>
      </c>
    </row>
    <row r="991" spans="1:14" x14ac:dyDescent="0.3">
      <c r="A991">
        <v>29134</v>
      </c>
      <c r="B991" t="s">
        <v>37</v>
      </c>
      <c r="C991" t="s">
        <v>39</v>
      </c>
      <c r="D991" s="3">
        <v>60000</v>
      </c>
      <c r="E991">
        <v>4</v>
      </c>
      <c r="F991" t="s">
        <v>15</v>
      </c>
      <c r="G991" t="s">
        <v>16</v>
      </c>
      <c r="H991" t="s">
        <v>20</v>
      </c>
      <c r="I991">
        <v>3</v>
      </c>
      <c r="J991" t="s">
        <v>41</v>
      </c>
      <c r="K991" t="s">
        <v>35</v>
      </c>
      <c r="L991">
        <v>42</v>
      </c>
      <c r="M991" t="str">
        <f t="shared" si="16"/>
        <v>Middle Age</v>
      </c>
      <c r="N991" t="s">
        <v>20</v>
      </c>
    </row>
    <row r="992" spans="1:14" x14ac:dyDescent="0.3">
      <c r="A992">
        <v>14332</v>
      </c>
      <c r="B992" t="s">
        <v>40</v>
      </c>
      <c r="C992" t="s">
        <v>38</v>
      </c>
      <c r="D992" s="3">
        <v>30000</v>
      </c>
      <c r="E992">
        <v>0</v>
      </c>
      <c r="F992" t="s">
        <v>30</v>
      </c>
      <c r="G992" t="s">
        <v>16</v>
      </c>
      <c r="H992" t="s">
        <v>20</v>
      </c>
      <c r="I992">
        <v>2</v>
      </c>
      <c r="J992" t="s">
        <v>26</v>
      </c>
      <c r="K992" t="s">
        <v>35</v>
      </c>
      <c r="L992">
        <v>26</v>
      </c>
      <c r="M992" t="str">
        <f t="shared" si="16"/>
        <v>Adolescent</v>
      </c>
      <c r="N992" t="s">
        <v>20</v>
      </c>
    </row>
    <row r="993" spans="1:14" x14ac:dyDescent="0.3">
      <c r="A993">
        <v>19117</v>
      </c>
      <c r="B993" t="s">
        <v>40</v>
      </c>
      <c r="C993" t="s">
        <v>38</v>
      </c>
      <c r="D993" s="3">
        <v>60000</v>
      </c>
      <c r="E993">
        <v>1</v>
      </c>
      <c r="F993" t="s">
        <v>34</v>
      </c>
      <c r="G993" t="s">
        <v>23</v>
      </c>
      <c r="H993" t="s">
        <v>17</v>
      </c>
      <c r="I993">
        <v>0</v>
      </c>
      <c r="J993" t="s">
        <v>24</v>
      </c>
      <c r="K993" t="s">
        <v>35</v>
      </c>
      <c r="L993">
        <v>36</v>
      </c>
      <c r="M993" t="str">
        <f t="shared" si="16"/>
        <v>Middle Age</v>
      </c>
      <c r="N993" t="s">
        <v>17</v>
      </c>
    </row>
    <row r="994" spans="1:14" x14ac:dyDescent="0.3">
      <c r="A994">
        <v>22864</v>
      </c>
      <c r="B994" t="s">
        <v>37</v>
      </c>
      <c r="C994" t="s">
        <v>39</v>
      </c>
      <c r="D994" s="3">
        <v>90000</v>
      </c>
      <c r="E994">
        <v>2</v>
      </c>
      <c r="F994" t="s">
        <v>21</v>
      </c>
      <c r="G994" t="s">
        <v>23</v>
      </c>
      <c r="H994" t="s">
        <v>20</v>
      </c>
      <c r="I994">
        <v>0</v>
      </c>
      <c r="J994" t="s">
        <v>26</v>
      </c>
      <c r="K994" t="s">
        <v>35</v>
      </c>
      <c r="L994">
        <v>49</v>
      </c>
      <c r="M994" t="str">
        <f t="shared" si="16"/>
        <v>Middle Age</v>
      </c>
      <c r="N994" t="s">
        <v>17</v>
      </c>
    </row>
    <row r="995" spans="1:14" x14ac:dyDescent="0.3">
      <c r="A995">
        <v>11292</v>
      </c>
      <c r="B995" t="s">
        <v>40</v>
      </c>
      <c r="C995" t="s">
        <v>39</v>
      </c>
      <c r="D995" s="3">
        <v>150000</v>
      </c>
      <c r="E995">
        <v>1</v>
      </c>
      <c r="F995" t="s">
        <v>21</v>
      </c>
      <c r="G995" t="s">
        <v>23</v>
      </c>
      <c r="H995" t="s">
        <v>20</v>
      </c>
      <c r="I995">
        <v>3</v>
      </c>
      <c r="J995" t="s">
        <v>18</v>
      </c>
      <c r="K995" t="s">
        <v>35</v>
      </c>
      <c r="L995">
        <v>44</v>
      </c>
      <c r="M995" t="str">
        <f t="shared" si="16"/>
        <v>Middle Age</v>
      </c>
      <c r="N995" t="s">
        <v>17</v>
      </c>
    </row>
    <row r="996" spans="1:14" x14ac:dyDescent="0.3">
      <c r="A996">
        <v>13466</v>
      </c>
      <c r="B996" t="s">
        <v>37</v>
      </c>
      <c r="C996" t="s">
        <v>39</v>
      </c>
      <c r="D996" s="3">
        <v>80000</v>
      </c>
      <c r="E996">
        <v>5</v>
      </c>
      <c r="F996" t="s">
        <v>21</v>
      </c>
      <c r="G996" t="s">
        <v>23</v>
      </c>
      <c r="H996" t="s">
        <v>17</v>
      </c>
      <c r="I996">
        <v>3</v>
      </c>
      <c r="J996" t="s">
        <v>29</v>
      </c>
      <c r="K996" t="s">
        <v>35</v>
      </c>
      <c r="L996">
        <v>46</v>
      </c>
      <c r="M996" t="str">
        <f t="shared" si="16"/>
        <v>Middle Age</v>
      </c>
      <c r="N996" t="s">
        <v>20</v>
      </c>
    </row>
    <row r="997" spans="1:14" x14ac:dyDescent="0.3">
      <c r="A997">
        <v>23731</v>
      </c>
      <c r="B997" t="s">
        <v>37</v>
      </c>
      <c r="C997" t="s">
        <v>39</v>
      </c>
      <c r="D997" s="3">
        <v>60000</v>
      </c>
      <c r="E997" s="2">
        <v>2</v>
      </c>
      <c r="F997" t="s">
        <v>30</v>
      </c>
      <c r="G997" t="s">
        <v>23</v>
      </c>
      <c r="H997" t="s">
        <v>17</v>
      </c>
      <c r="I997">
        <v>2</v>
      </c>
      <c r="J997" t="s">
        <v>24</v>
      </c>
      <c r="K997" t="s">
        <v>35</v>
      </c>
      <c r="L997">
        <v>54</v>
      </c>
      <c r="M997" t="str">
        <f t="shared" si="16"/>
        <v>Middle Age</v>
      </c>
      <c r="N997" t="s">
        <v>17</v>
      </c>
    </row>
    <row r="998" spans="1:14" x14ac:dyDescent="0.3">
      <c r="A998">
        <v>28672</v>
      </c>
      <c r="B998" t="s">
        <v>40</v>
      </c>
      <c r="C998" t="s">
        <v>39</v>
      </c>
      <c r="D998" s="3">
        <v>70000</v>
      </c>
      <c r="E998">
        <v>4</v>
      </c>
      <c r="F998" t="s">
        <v>34</v>
      </c>
      <c r="G998" t="s">
        <v>23</v>
      </c>
      <c r="H998" t="s">
        <v>17</v>
      </c>
      <c r="I998">
        <v>0</v>
      </c>
      <c r="J998" t="s">
        <v>24</v>
      </c>
      <c r="K998" t="s">
        <v>35</v>
      </c>
      <c r="L998">
        <v>35</v>
      </c>
      <c r="M998" t="str">
        <f t="shared" si="16"/>
        <v>Middle Age</v>
      </c>
      <c r="N998" t="s">
        <v>17</v>
      </c>
    </row>
    <row r="999" spans="1:14" x14ac:dyDescent="0.3">
      <c r="A999">
        <v>11809</v>
      </c>
      <c r="B999" t="s">
        <v>37</v>
      </c>
      <c r="C999" t="s">
        <v>39</v>
      </c>
      <c r="D999" s="3">
        <v>60000</v>
      </c>
      <c r="E999">
        <v>2</v>
      </c>
      <c r="F999" t="s">
        <v>15</v>
      </c>
      <c r="G999" t="s">
        <v>16</v>
      </c>
      <c r="H999" t="s">
        <v>17</v>
      </c>
      <c r="I999">
        <v>0</v>
      </c>
      <c r="J999" t="s">
        <v>18</v>
      </c>
      <c r="K999" t="s">
        <v>35</v>
      </c>
      <c r="L999">
        <v>38</v>
      </c>
      <c r="M999" t="str">
        <f t="shared" si="16"/>
        <v>Middle Age</v>
      </c>
      <c r="N999" t="s">
        <v>17</v>
      </c>
    </row>
    <row r="1000" spans="1:14" x14ac:dyDescent="0.3">
      <c r="A1000">
        <v>19664</v>
      </c>
      <c r="B1000" t="s">
        <v>40</v>
      </c>
      <c r="C1000" t="s">
        <v>39</v>
      </c>
      <c r="D1000" s="3">
        <v>100000</v>
      </c>
      <c r="E1000">
        <v>3</v>
      </c>
      <c r="F1000" t="s">
        <v>15</v>
      </c>
      <c r="G1000" t="s">
        <v>31</v>
      </c>
      <c r="H1000" t="s">
        <v>20</v>
      </c>
      <c r="I1000">
        <v>3</v>
      </c>
      <c r="J1000" t="s">
        <v>29</v>
      </c>
      <c r="K1000" t="s">
        <v>35</v>
      </c>
      <c r="L1000">
        <v>38</v>
      </c>
      <c r="M1000" t="str">
        <f t="shared" si="16"/>
        <v>Middle Age</v>
      </c>
      <c r="N1000" t="s">
        <v>20</v>
      </c>
    </row>
    <row r="1001" spans="1:14" x14ac:dyDescent="0.3">
      <c r="A1001">
        <v>12121</v>
      </c>
      <c r="B1001" t="s">
        <v>40</v>
      </c>
      <c r="C1001" t="s">
        <v>39</v>
      </c>
      <c r="D1001" s="3">
        <v>60000</v>
      </c>
      <c r="E1001">
        <v>3</v>
      </c>
      <c r="F1001" t="s">
        <v>30</v>
      </c>
      <c r="G1001" t="s">
        <v>23</v>
      </c>
      <c r="H1001" t="s">
        <v>17</v>
      </c>
      <c r="I1001">
        <v>2</v>
      </c>
      <c r="J1001" t="s">
        <v>41</v>
      </c>
      <c r="K1001" t="s">
        <v>35</v>
      </c>
      <c r="L1001">
        <v>53</v>
      </c>
      <c r="M1001" t="str">
        <f t="shared" si="16"/>
        <v>Middle 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D464-1C37-4056-BCF8-0ADC27B3ADBD}">
  <dimension ref="A3:D40"/>
  <sheetViews>
    <sheetView workbookViewId="0">
      <selection activeCell="D7" sqref="D7"/>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45</v>
      </c>
    </row>
    <row r="4" spans="1:4" x14ac:dyDescent="0.3">
      <c r="A4" s="4" t="s">
        <v>42</v>
      </c>
      <c r="B4" t="s">
        <v>20</v>
      </c>
      <c r="C4" t="s">
        <v>17</v>
      </c>
      <c r="D4" t="s">
        <v>43</v>
      </c>
    </row>
    <row r="5" spans="1:4" x14ac:dyDescent="0.3">
      <c r="A5" s="5" t="s">
        <v>39</v>
      </c>
      <c r="B5" s="6">
        <v>56097.560975609755</v>
      </c>
      <c r="C5" s="6">
        <v>54782.608695652176</v>
      </c>
      <c r="D5" s="6">
        <v>55402.298850574713</v>
      </c>
    </row>
    <row r="6" spans="1:4" x14ac:dyDescent="0.3">
      <c r="A6" s="5" t="s">
        <v>43</v>
      </c>
      <c r="B6" s="6">
        <v>56097.560975609755</v>
      </c>
      <c r="C6" s="6">
        <v>54782.608695652176</v>
      </c>
      <c r="D6" s="6">
        <v>55402.298850574713</v>
      </c>
    </row>
    <row r="19" spans="1:4" x14ac:dyDescent="0.3">
      <c r="A19" s="4" t="s">
        <v>46</v>
      </c>
      <c r="B19" s="4" t="s">
        <v>45</v>
      </c>
    </row>
    <row r="20" spans="1:4" x14ac:dyDescent="0.3">
      <c r="A20" s="4" t="s">
        <v>42</v>
      </c>
      <c r="B20" t="s">
        <v>20</v>
      </c>
      <c r="C20" t="s">
        <v>17</v>
      </c>
      <c r="D20" t="s">
        <v>43</v>
      </c>
    </row>
    <row r="21" spans="1:4" x14ac:dyDescent="0.3">
      <c r="A21" s="5" t="s">
        <v>18</v>
      </c>
      <c r="B21" s="6">
        <v>28</v>
      </c>
      <c r="C21" s="6">
        <v>26</v>
      </c>
      <c r="D21" s="6">
        <v>54</v>
      </c>
    </row>
    <row r="22" spans="1:4" x14ac:dyDescent="0.3">
      <c r="A22" s="5" t="s">
        <v>29</v>
      </c>
      <c r="B22" s="6">
        <v>4</v>
      </c>
      <c r="C22" s="6">
        <v>5</v>
      </c>
      <c r="D22" s="6">
        <v>9</v>
      </c>
    </row>
    <row r="23" spans="1:4" x14ac:dyDescent="0.3">
      <c r="A23" s="5" t="s">
        <v>24</v>
      </c>
      <c r="B23" s="6">
        <v>4</v>
      </c>
      <c r="C23" s="6">
        <v>11</v>
      </c>
      <c r="D23" s="6">
        <v>15</v>
      </c>
    </row>
    <row r="24" spans="1:4" x14ac:dyDescent="0.3">
      <c r="A24" s="5" t="s">
        <v>26</v>
      </c>
      <c r="B24" s="6">
        <v>5</v>
      </c>
      <c r="C24" s="6">
        <v>4</v>
      </c>
      <c r="D24" s="6">
        <v>9</v>
      </c>
    </row>
    <row r="25" spans="1:4" x14ac:dyDescent="0.3">
      <c r="A25" s="5" t="s">
        <v>43</v>
      </c>
      <c r="B25" s="6">
        <v>41</v>
      </c>
      <c r="C25" s="6">
        <v>46</v>
      </c>
      <c r="D25" s="6">
        <v>87</v>
      </c>
    </row>
    <row r="35" spans="1:4" x14ac:dyDescent="0.3">
      <c r="A35" s="4" t="s">
        <v>46</v>
      </c>
      <c r="B35" s="4" t="s">
        <v>45</v>
      </c>
    </row>
    <row r="36" spans="1:4" x14ac:dyDescent="0.3">
      <c r="A36" s="4" t="s">
        <v>42</v>
      </c>
      <c r="B36" t="s">
        <v>20</v>
      </c>
      <c r="C36" t="s">
        <v>17</v>
      </c>
      <c r="D36" t="s">
        <v>43</v>
      </c>
    </row>
    <row r="37" spans="1:4" x14ac:dyDescent="0.3">
      <c r="A37" s="5" t="s">
        <v>47</v>
      </c>
      <c r="B37" s="6"/>
      <c r="C37" s="6">
        <v>1</v>
      </c>
      <c r="D37" s="6">
        <v>1</v>
      </c>
    </row>
    <row r="38" spans="1:4" x14ac:dyDescent="0.3">
      <c r="A38" s="5" t="s">
        <v>48</v>
      </c>
      <c r="B38" s="6">
        <v>36</v>
      </c>
      <c r="C38" s="6">
        <v>41</v>
      </c>
      <c r="D38" s="6">
        <v>77</v>
      </c>
    </row>
    <row r="39" spans="1:4" x14ac:dyDescent="0.3">
      <c r="A39" s="5" t="s">
        <v>49</v>
      </c>
      <c r="B39" s="6">
        <v>5</v>
      </c>
      <c r="C39" s="6">
        <v>4</v>
      </c>
      <c r="D39" s="6">
        <v>9</v>
      </c>
    </row>
    <row r="40" spans="1:4" x14ac:dyDescent="0.3">
      <c r="A40" s="5" t="s">
        <v>43</v>
      </c>
      <c r="B40" s="6">
        <v>41</v>
      </c>
      <c r="C40" s="6">
        <v>46</v>
      </c>
      <c r="D40" s="6">
        <v>87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07E3-0D36-4324-B331-DCA8B50C8815}">
  <dimension ref="A1:O5"/>
  <sheetViews>
    <sheetView tabSelected="1" zoomScale="70" zoomScaleNormal="70" workbookViewId="0">
      <selection activeCell="R14" sqref="R14"/>
    </sheetView>
  </sheetViews>
  <sheetFormatPr defaultRowHeight="14.4" x14ac:dyDescent="0.3"/>
  <cols>
    <col min="1" max="16384" width="8.88671875" style="9"/>
  </cols>
  <sheetData>
    <row r="1" spans="1:15" ht="14.4" customHeight="1"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vt:lpstr>
      <vt:lpstr>Working Sheet</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2026-01-09T11:05:35Z</dcterms:created>
  <dcterms:modified xsi:type="dcterms:W3CDTF">2026-01-09T11:40:46Z</dcterms:modified>
</cp:coreProperties>
</file>