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ml.chartshapes+xml"/>
  <Override PartName="/xl/drawings/drawing12.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91788\Desktop\Data Analysis Courses\Project\"/>
    </mc:Choice>
  </mc:AlternateContent>
  <xr:revisionPtr revIDLastSave="0" documentId="8_{F6450EFE-2AA5-49FF-947C-12FBB26B6FF8}" xr6:coauthVersionLast="47" xr6:coauthVersionMax="47" xr10:uidLastSave="{00000000-0000-0000-0000-000000000000}"/>
  <bookViews>
    <workbookView xWindow="-108" yWindow="-108" windowWidth="23256" windowHeight="12456" firstSheet="3" activeTab="4" xr2:uid="{17C4AB50-963D-45D6-AFE1-B085ED8E8DEA}"/>
  </bookViews>
  <sheets>
    <sheet name="Pivot Report " sheetId="1" r:id="rId1"/>
    <sheet name="Dashboard" sheetId="2" r:id="rId2"/>
    <sheet name="Satisfaction Score Daily Trend" sheetId="3" r:id="rId3"/>
    <sheet name="Average Wait Time Daily Trend" sheetId="5" r:id="rId4"/>
    <sheet name="Daily ER No of Patient" sheetId="4" r:id="rId5"/>
  </sheets>
  <externalReferences>
    <externalReference r:id="rId6"/>
  </externalReferences>
  <definedNames>
    <definedName name="Slicer_Date__Month">#N/A</definedName>
    <definedName name="Slicer_Date__Year">#N/A</definedName>
  </definedNames>
  <calcPr calcId="181029"/>
  <pivotCaches>
    <pivotCache cacheId="800" r:id="rId7"/>
    <pivotCache cacheId="803" r:id="rId8"/>
    <pivotCache cacheId="806" r:id="rId9"/>
    <pivotCache cacheId="809" r:id="rId10"/>
    <pivotCache cacheId="812" r:id="rId11"/>
    <pivotCache cacheId="815" r:id="rId12"/>
    <pivotCache cacheId="818" r:id="rId13"/>
    <pivotCache cacheId="821" r:id="rId14"/>
    <pivotCache cacheId="824" r:id="rId15"/>
    <pivotCache cacheId="827" r:id="rId16"/>
    <pivotCache cacheId="830" r:id="rId17"/>
    <pivotCache cacheId="833" r:id="rId18"/>
  </pivotCaches>
  <extLst>
    <ext xmlns:x14="http://schemas.microsoft.com/office/spreadsheetml/2009/9/main" uri="{876F7934-8845-4945-9796-88D515C7AA90}">
      <x14:pivotCaches>
        <pivotCache cacheId="578"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Table-b7353d62-5861-40f6-8128-99c25af9134c" name="Calendar_Table" connection="Query - Calendar_Table"/>
          <x15:modelTable id="Hospital Emergency Room Data-3e8b6c48-04a4-4721-b27e-e1ddd0b925d2" name="Hospital Emergency Room Data" connection="Query - Hospital Emergency Room Data"/>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Lst>
</workbook>
</file>

<file path=xl/calcChain.xml><?xml version="1.0" encoding="utf-8"?>
<calcChain xmlns="http://schemas.openxmlformats.org/spreadsheetml/2006/main">
  <c r="C9" i="2" l="1"/>
  <c r="C46" i="1"/>
  <c r="B46" i="1"/>
  <c r="A46" i="1"/>
  <c r="C45" i="1"/>
  <c r="B45" i="1"/>
  <c r="A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914D03-11E7-4D98-97BC-ACE8FF709B66}" name="Query - Calendar_Table" description="Connection to the 'Calendar_Table' query in the workbook." type="100" refreshedVersion="8" minRefreshableVersion="5">
    <extLst>
      <ext xmlns:x15="http://schemas.microsoft.com/office/spreadsheetml/2010/11/main" uri="{DE250136-89BD-433C-8126-D09CA5730AF9}">
        <x15:connection id="fea6725a-95ea-4eaa-b1b9-880ba75c79c0"/>
      </ext>
    </extLst>
  </connection>
  <connection id="2" xr16:uid="{4CBE0EC3-EB66-42C9-A72E-1A4AFB3FD6E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6673fc0-079a-4bec-af35-ab58ddab28b5">
          <x15:oledbPr connection="Provider=Microsoft.Mashup.OleDb.1;Data Source=$Workbook$;Location=&quot;Hospital Emergency Room Data&quot;;Extended Properties=&quot;&quot;">
            <x15:dbTables>
              <x15:dbTable name="Hospital Emergency Room Data"/>
            </x15:dbTables>
          </x15:oledbPr>
        </x15:connection>
      </ext>
    </extLst>
  </connection>
  <connection id="3" xr16:uid="{2BEE243D-86A9-4628-97BA-9C44206B33C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<sst xmlns="http://schemas.openxmlformats.org/spreadsheetml/2006/main" count="156" uniqueCount="77">
  <si>
    <t>No. of Patient</t>
  </si>
  <si>
    <t>Distinct Count of Patient Id</t>
  </si>
  <si>
    <t xml:space="preserve">No of Patient </t>
  </si>
  <si>
    <t xml:space="preserve">Average wait time </t>
  </si>
  <si>
    <t>Patient Satisfaction Score</t>
  </si>
  <si>
    <t>Row Labels</t>
  </si>
  <si>
    <t>Average of Patient Waittime</t>
  </si>
  <si>
    <t>Average of Patient Satisfaction Score</t>
  </si>
  <si>
    <t>Grand Total</t>
  </si>
  <si>
    <t>Count of Patient Admission Flag</t>
  </si>
  <si>
    <t>Count of Patient Admission Flag2</t>
  </si>
  <si>
    <t>Admitted</t>
  </si>
  <si>
    <t>Not - Admitted</t>
  </si>
  <si>
    <t>Admission Status</t>
  </si>
  <si>
    <t xml:space="preserve">No. of Patient </t>
  </si>
  <si>
    <t>% Status</t>
  </si>
  <si>
    <t>Age group wise analysis</t>
  </si>
  <si>
    <t xml:space="preserve">Patient attended within time </t>
  </si>
  <si>
    <t>No. of Patient by Gender</t>
  </si>
  <si>
    <t>No. of patient by department referal</t>
  </si>
  <si>
    <t>Count of Age_Group</t>
  </si>
  <si>
    <t>Count of Patient_attend_status</t>
  </si>
  <si>
    <t>Count of Patient Gender</t>
  </si>
  <si>
    <t>Count of Department Referral</t>
  </si>
  <si>
    <t>0-09</t>
  </si>
  <si>
    <t>Delay</t>
  </si>
  <si>
    <t>Female</t>
  </si>
  <si>
    <t>Neurology</t>
  </si>
  <si>
    <t>10-19</t>
  </si>
  <si>
    <t>On-time</t>
  </si>
  <si>
    <t>Male</t>
  </si>
  <si>
    <t>Gastroenterology</t>
  </si>
  <si>
    <t>20-29</t>
  </si>
  <si>
    <t>Renal</t>
  </si>
  <si>
    <t>30-39</t>
  </si>
  <si>
    <t>Cardiology</t>
  </si>
  <si>
    <t>40-49</t>
  </si>
  <si>
    <t>Physiotherapy</t>
  </si>
  <si>
    <t>50-59</t>
  </si>
  <si>
    <t>Orthopedics</t>
  </si>
  <si>
    <t>60-69</t>
  </si>
  <si>
    <t>Year Slicer</t>
  </si>
  <si>
    <t>General Practice</t>
  </si>
  <si>
    <t>70-79</t>
  </si>
  <si>
    <t>None</t>
  </si>
  <si>
    <t>Femaleemale</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</si>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</sst>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7">
    <fill>
      <patternFill patternType="none"/>
    </fill>
    <fill>
      <patternFill patternType="gray125"/>
    </fill>
    <fill>
      <patternFill patternType="solid">
        <fgColor theme="8"/>
        <bgColor indexed="64"/>
      </patternFill>
    </fill>
    <fill>
      <patternFill patternType="solid">
        <fgColor theme="0"/>
        <bgColor indexed="64"/>
      </patternFill>
    </fill>
    <fill>
      <patternFill patternType="solid">
        <fgColor theme="6" tint="-0.499984740745262"/>
        <bgColor indexed="64"/>
      </patternFill>
    </fill>
    <fill>
      <patternFill patternType="solid">
        <fgColor theme="1" tint="0.499984740745262"/>
        <bgColor indexed="64"/>
      </patternFill>
    </fill>
    <fill>
      <patternFill patternType="solid">
        <fgColor theme="1" tint="0.34998626667073579"/>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left"/>
    </xf>
    <xf numFmtId="2" fontId="0" fillId="0" borderId="0" xfId="0" applyNumberFormat="1"/>
    <xf numFmtId="1" fontId="0" fillId="0" borderId="0" xfId="0" applyNumberFormat="1"/>
    <xf numFmtId="10" fontId="0" fillId="0" borderId="0" xfId="0" applyNumberFormat="1"/>
    <xf numFmtId="0" fontId="0" fillId="2" borderId="0" xfId="0" applyFill="1" applyAlignment="1">
      <alignment horizontal="left"/>
    </xf>
    <xf numFmtId="0" fontId="0" fillId="2" borderId="0" xfId="0" applyFill="1"/>
    <xf numFmtId="0" fontId="0" fillId="3" borderId="0" xfId="0" applyFill="1" applyAlignment="1">
      <alignment horizontal="left"/>
    </xf>
    <xf numFmtId="2" fontId="0" fillId="3" borderId="0" xfId="0" applyNumberFormat="1" applyFill="1" applyAlignment="1">
      <alignment horizontal="left"/>
    </xf>
    <xf numFmtId="0" fontId="0" fillId="3" borderId="0" xfId="0" applyFill="1"/>
    <xf numFmtId="0" fontId="0" fillId="0" borderId="0" xfId="0" pivotButton="1"/>
    <xf numFmtId="0" fontId="0" fillId="0" borderId="0" xfId="0" applyNumberFormat="1"/>
    <xf numFmtId="0" fontId="0" fillId="4" borderId="0" xfId="0" applyFont="1" applyFill="1" applyBorder="1" applyAlignment="1">
      <alignment wrapText="1"/>
    </xf>
    <xf numFmtId="0" fontId="0" fillId="5" borderId="0" xfId="0" applyFill="1"/>
    <xf numFmtId="0" fontId="0" fillId="6" borderId="0" xfId="0" applyFill="1" applyAlignment="1">
      <alignment horizontal="left"/>
    </xf>
    <xf numFmtId="0" fontId="0" fillId="6" borderId="0" xfId="0" applyFill="1"/>
    <xf numFmtId="2" fontId="0" fillId="6" borderId="0" xfId="0" applyNumberFormat="1" applyFill="1" applyAlignment="1">
      <alignment horizontal="left"/>
    </xf>
  </cellXfs>
  <cellStyles count="1">
    <cellStyle name="Normal" xfId="0" builtinId="0"/>
  </cellStyles>
  <dxfs count="105">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1" formatCode="0"/>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rooms Dashboard.xlsx]Pivot Report !PivotTable10</c:name>
    <c:fmtId val="7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55029102572722E-3"/>
          <c:y val="1.7117210209225322E-2"/>
          <c:w val="0.99430455729592937"/>
          <c:h val="0.98288282824198558"/>
        </c:manualLayout>
      </c:layout>
      <c:barChart>
        <c:barDir val="bar"/>
        <c:grouping val="clustered"/>
        <c:varyColors val="0"/>
        <c:ser>
          <c:idx val="0"/>
          <c:order val="0"/>
          <c:tx>
            <c:strRef>
              <c:f>'Pivot Report '!$B$38</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'!$A$39:$A$41</c:f>
              <c:strCache>
                <c:ptCount val="2"/>
                <c:pt idx="0">
                  <c:v>Admitted</c:v>
                </c:pt>
                <c:pt idx="1">
                  <c:v>Not - Admitted</c:v>
                </c:pt>
              </c:strCache>
            </c:strRef>
          </c:cat>
          <c:val>
            <c:numRef>
              <c:f>'Pivot Report '!$B$39:$B$41</c:f>
              <c:numCache>
                <c:formatCode>0</c:formatCode>
                <c:ptCount val="2"/>
                <c:pt idx="0">
                  <c:v>237</c:v>
                </c:pt>
                <c:pt idx="1">
                  <c:v>242</c:v>
                </c:pt>
              </c:numCache>
            </c:numRef>
          </c:val>
          <c:extLst>
            <c:ext xmlns:c16="http://schemas.microsoft.com/office/drawing/2014/chart" uri="{C3380CC4-5D6E-409C-BE32-E72D297353CC}">
              <c16:uniqueId val="{00000000-F977-470C-B95E-61AE010EF323}"/>
            </c:ext>
          </c:extLst>
        </c:ser>
        <c:ser>
          <c:idx val="1"/>
          <c:order val="1"/>
          <c:tx>
            <c:strRef>
              <c:f>'Pivot Report '!$C$38</c:f>
              <c:strCache>
                <c:ptCount val="1"/>
                <c:pt idx="0">
                  <c:v>Count of Patient Admission Flag2</c:v>
                </c:pt>
              </c:strCache>
            </c:strRef>
          </c:tx>
          <c:spPr>
            <a:solidFill>
              <a:schemeClr val="accent2"/>
            </a:solidFill>
            <a:ln>
              <a:noFill/>
            </a:ln>
            <a:effectLst/>
          </c:spPr>
          <c:invertIfNegative val="0"/>
          <c:cat>
            <c:strRef>
              <c:f>'Pivot Report '!$A$39:$A$41</c:f>
              <c:strCache>
                <c:ptCount val="2"/>
                <c:pt idx="0">
                  <c:v>Admitted</c:v>
                </c:pt>
                <c:pt idx="1">
                  <c:v>Not - Admitted</c:v>
                </c:pt>
              </c:strCache>
            </c:strRef>
          </c:cat>
          <c:val>
            <c:numRef>
              <c:f>'Pivot Report '!$C$39:$C$41</c:f>
              <c:numCache>
                <c:formatCode>0.00%</c:formatCode>
                <c:ptCount val="2"/>
                <c:pt idx="0">
                  <c:v>0.49478079331941544</c:v>
                </c:pt>
                <c:pt idx="1">
                  <c:v>0.50521920668058451</c:v>
                </c:pt>
              </c:numCache>
            </c:numRef>
          </c:val>
          <c:extLst>
            <c:ext xmlns:c16="http://schemas.microsoft.com/office/drawing/2014/chart" uri="{C3380CC4-5D6E-409C-BE32-E72D297353CC}">
              <c16:uniqueId val="{00000001-F977-470C-B95E-61AE010EF323}"/>
            </c:ext>
          </c:extLst>
        </c:ser>
        <c:dLbls>
          <c:showLegendKey val="0"/>
          <c:showVal val="0"/>
          <c:showCatName val="0"/>
          <c:showSerName val="0"/>
          <c:showPercent val="0"/>
          <c:showBubbleSize val="0"/>
        </c:dLbls>
        <c:gapWidth val="40"/>
        <c:overlap val="15"/>
        <c:axId val="398739328"/>
        <c:axId val="398746528"/>
      </c:barChart>
      <c:catAx>
        <c:axId val="398739328"/>
        <c:scaling>
          <c:orientation val="minMax"/>
        </c:scaling>
        <c:delete val="1"/>
        <c:axPos val="l"/>
        <c:numFmt formatCode="General" sourceLinked="1"/>
        <c:majorTickMark val="none"/>
        <c:minorTickMark val="none"/>
        <c:tickLblPos val="nextTo"/>
        <c:crossAx val="398746528"/>
        <c:crosses val="autoZero"/>
        <c:auto val="1"/>
        <c:lblAlgn val="ctr"/>
        <c:lblOffset val="100"/>
        <c:noMultiLvlLbl val="0"/>
      </c:catAx>
      <c:valAx>
        <c:axId val="398746528"/>
        <c:scaling>
          <c:orientation val="minMax"/>
        </c:scaling>
        <c:delete val="1"/>
        <c:axPos val="b"/>
        <c:numFmt formatCode="0" sourceLinked="1"/>
        <c:majorTickMark val="none"/>
        <c:minorTickMark val="none"/>
        <c:tickLblPos val="nextTo"/>
        <c:crossAx val="3987393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rooms Dashboard.xlsx]Pivot Report !PivotTable10</c:name>
    <c:fmtId val="7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55029102572722E-3"/>
          <c:y val="1.7117210209225322E-2"/>
          <c:w val="0.99430455729592937"/>
          <c:h val="0.98288282824198558"/>
        </c:manualLayout>
      </c:layout>
      <c:barChart>
        <c:barDir val="bar"/>
        <c:grouping val="clustered"/>
        <c:varyColors val="0"/>
        <c:ser>
          <c:idx val="0"/>
          <c:order val="0"/>
          <c:tx>
            <c:strRef>
              <c:f>'Pivot Report '!$B$38</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'!$A$39:$A$41</c:f>
              <c:strCache>
                <c:ptCount val="2"/>
                <c:pt idx="0">
                  <c:v>Admitted</c:v>
                </c:pt>
                <c:pt idx="1">
                  <c:v>Not - Admitted</c:v>
                </c:pt>
              </c:strCache>
            </c:strRef>
          </c:cat>
          <c:val>
            <c:numRef>
              <c:f>'Pivot Report '!$B$39:$B$41</c:f>
              <c:numCache>
                <c:formatCode>0</c:formatCode>
                <c:ptCount val="2"/>
                <c:pt idx="0">
                  <c:v>237</c:v>
                </c:pt>
                <c:pt idx="1">
                  <c:v>242</c:v>
                </c:pt>
              </c:numCache>
            </c:numRef>
          </c:val>
          <c:extLst>
            <c:ext xmlns:c16="http://schemas.microsoft.com/office/drawing/2014/chart" uri="{C3380CC4-5D6E-409C-BE32-E72D297353CC}">
              <c16:uniqueId val="{00000000-8A8C-4C72-B36E-2B3DBA2921A6}"/>
            </c:ext>
          </c:extLst>
        </c:ser>
        <c:ser>
          <c:idx val="1"/>
          <c:order val="1"/>
          <c:tx>
            <c:strRef>
              <c:f>'Pivot Report '!$C$38</c:f>
              <c:strCache>
                <c:ptCount val="1"/>
                <c:pt idx="0">
                  <c:v>Count of Patient Admission Flag2</c:v>
                </c:pt>
              </c:strCache>
            </c:strRef>
          </c:tx>
          <c:spPr>
            <a:solidFill>
              <a:schemeClr val="accent2"/>
            </a:solidFill>
            <a:ln>
              <a:noFill/>
            </a:ln>
            <a:effectLst/>
          </c:spPr>
          <c:invertIfNegative val="0"/>
          <c:cat>
            <c:strRef>
              <c:f>'Pivot Report '!$A$39:$A$41</c:f>
              <c:strCache>
                <c:ptCount val="2"/>
                <c:pt idx="0">
                  <c:v>Admitted</c:v>
                </c:pt>
                <c:pt idx="1">
                  <c:v>Not - Admitted</c:v>
                </c:pt>
              </c:strCache>
            </c:strRef>
          </c:cat>
          <c:val>
            <c:numRef>
              <c:f>'Pivot Report '!$C$39:$C$41</c:f>
              <c:numCache>
                <c:formatCode>0.00%</c:formatCode>
                <c:ptCount val="2"/>
                <c:pt idx="0">
                  <c:v>0.49478079331941544</c:v>
                </c:pt>
                <c:pt idx="1">
                  <c:v>0.50521920668058451</c:v>
                </c:pt>
              </c:numCache>
            </c:numRef>
          </c:val>
          <c:extLst>
            <c:ext xmlns:c16="http://schemas.microsoft.com/office/drawing/2014/chart" uri="{C3380CC4-5D6E-409C-BE32-E72D297353CC}">
              <c16:uniqueId val="{00000001-8A8C-4C72-B36E-2B3DBA2921A6}"/>
            </c:ext>
          </c:extLst>
        </c:ser>
        <c:dLbls>
          <c:showLegendKey val="0"/>
          <c:showVal val="0"/>
          <c:showCatName val="0"/>
          <c:showSerName val="0"/>
          <c:showPercent val="0"/>
          <c:showBubbleSize val="0"/>
        </c:dLbls>
        <c:gapWidth val="40"/>
        <c:overlap val="15"/>
        <c:axId val="398739328"/>
        <c:axId val="398746528"/>
      </c:barChart>
      <c:catAx>
        <c:axId val="398739328"/>
        <c:scaling>
          <c:orientation val="minMax"/>
        </c:scaling>
        <c:delete val="1"/>
        <c:axPos val="l"/>
        <c:numFmt formatCode="General" sourceLinked="1"/>
        <c:majorTickMark val="none"/>
        <c:minorTickMark val="none"/>
        <c:tickLblPos val="nextTo"/>
        <c:crossAx val="398746528"/>
        <c:crosses val="autoZero"/>
        <c:auto val="1"/>
        <c:lblAlgn val="ctr"/>
        <c:lblOffset val="100"/>
        <c:noMultiLvlLbl val="0"/>
      </c:catAx>
      <c:valAx>
        <c:axId val="398746528"/>
        <c:scaling>
          <c:orientation val="minMax"/>
        </c:scaling>
        <c:delete val="1"/>
        <c:axPos val="b"/>
        <c:numFmt formatCode="0" sourceLinked="1"/>
        <c:majorTickMark val="none"/>
        <c:minorTickMark val="none"/>
        <c:tickLblPos val="nextTo"/>
        <c:crossAx val="3987393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rooms Dashboard.xlsx]Pivot Report !PivotTable10</c:name>
    <c:fmtId val="7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55029102572722E-3"/>
          <c:y val="1.7117210209225322E-2"/>
          <c:w val="0.99430455729592937"/>
          <c:h val="0.98288282824198558"/>
        </c:manualLayout>
      </c:layout>
      <c:barChart>
        <c:barDir val="bar"/>
        <c:grouping val="clustered"/>
        <c:varyColors val="0"/>
        <c:ser>
          <c:idx val="0"/>
          <c:order val="0"/>
          <c:tx>
            <c:strRef>
              <c:f>'Pivot Report '!$B$38</c:f>
              <c:strCache>
                <c:ptCount val="1"/>
                <c:pt idx="0">
                  <c:v>Count of Patient Admission Flag</c:v>
                </c:pt>
              </c:strCache>
            </c:strRef>
          </c:tx>
          <c:spPr>
            <a:solidFill>
              <a:schemeClr val="accent1"/>
            </a:solidFill>
            <a:ln>
              <a:noFill/>
            </a:ln>
            <a:effectLst/>
          </c:spPr>
          <c:invertIfNegative val="0"/>
          <c:cat>
            <c:strRef>
              <c:f>'Pivot Report '!$A$39:$A$41</c:f>
              <c:strCache>
                <c:ptCount val="2"/>
                <c:pt idx="0">
                  <c:v>Admitted</c:v>
                </c:pt>
                <c:pt idx="1">
                  <c:v>Not - Admitted</c:v>
                </c:pt>
              </c:strCache>
            </c:strRef>
          </c:cat>
          <c:val>
            <c:numRef>
              <c:f>'Pivot Report '!$B$39:$B$41</c:f>
              <c:numCache>
                <c:formatCode>0</c:formatCode>
                <c:ptCount val="2"/>
                <c:pt idx="0">
                  <c:v>237</c:v>
                </c:pt>
                <c:pt idx="1">
                  <c:v>242</c:v>
                </c:pt>
              </c:numCache>
            </c:numRef>
          </c:val>
          <c:extLst>
            <c:ext xmlns:c16="http://schemas.microsoft.com/office/drawing/2014/chart" uri="{C3380CC4-5D6E-409C-BE32-E72D297353CC}">
              <c16:uniqueId val="{00000000-2D17-4AC3-AB4B-A9FB70736F86}"/>
            </c:ext>
          </c:extLst>
        </c:ser>
        <c:ser>
          <c:idx val="1"/>
          <c:order val="1"/>
          <c:tx>
            <c:strRef>
              <c:f>'Pivot Report '!$C$38</c:f>
              <c:strCache>
                <c:ptCount val="1"/>
                <c:pt idx="0">
                  <c:v>Count of Patient Admission Flag2</c:v>
                </c:pt>
              </c:strCache>
            </c:strRef>
          </c:tx>
          <c:spPr>
            <a:solidFill>
              <a:schemeClr val="accent2"/>
            </a:solidFill>
            <a:ln>
              <a:noFill/>
            </a:ln>
            <a:effectLst/>
          </c:spPr>
          <c:invertIfNegative val="0"/>
          <c:cat>
            <c:strRef>
              <c:f>'Pivot Report '!$A$39:$A$41</c:f>
              <c:strCache>
                <c:ptCount val="2"/>
                <c:pt idx="0">
                  <c:v>Admitted</c:v>
                </c:pt>
                <c:pt idx="1">
                  <c:v>Not - Admitted</c:v>
                </c:pt>
              </c:strCache>
            </c:strRef>
          </c:cat>
          <c:val>
            <c:numRef>
              <c:f>'Pivot Report '!$C$39:$C$41</c:f>
              <c:numCache>
                <c:formatCode>0.00%</c:formatCode>
                <c:ptCount val="2"/>
                <c:pt idx="0">
                  <c:v>0.49478079331941544</c:v>
                </c:pt>
                <c:pt idx="1">
                  <c:v>0.50521920668058451</c:v>
                </c:pt>
              </c:numCache>
            </c:numRef>
          </c:val>
          <c:extLst>
            <c:ext xmlns:c16="http://schemas.microsoft.com/office/drawing/2014/chart" uri="{C3380CC4-5D6E-409C-BE32-E72D297353CC}">
              <c16:uniqueId val="{00000001-2D17-4AC3-AB4B-A9FB70736F86}"/>
            </c:ext>
          </c:extLst>
        </c:ser>
        <c:dLbls>
          <c:showLegendKey val="0"/>
          <c:showVal val="0"/>
          <c:showCatName val="0"/>
          <c:showSerName val="0"/>
          <c:showPercent val="0"/>
          <c:showBubbleSize val="0"/>
        </c:dLbls>
        <c:gapWidth val="40"/>
        <c:overlap val="15"/>
        <c:axId val="398739328"/>
        <c:axId val="398746528"/>
      </c:barChart>
      <c:catAx>
        <c:axId val="398739328"/>
        <c:scaling>
          <c:orientation val="minMax"/>
        </c:scaling>
        <c:delete val="1"/>
        <c:axPos val="l"/>
        <c:numFmt formatCode="General" sourceLinked="1"/>
        <c:majorTickMark val="none"/>
        <c:minorTickMark val="none"/>
        <c:tickLblPos val="nextTo"/>
        <c:crossAx val="398746528"/>
        <c:crosses val="autoZero"/>
        <c:auto val="1"/>
        <c:lblAlgn val="ctr"/>
        <c:lblOffset val="100"/>
        <c:noMultiLvlLbl val="0"/>
      </c:catAx>
      <c:valAx>
        <c:axId val="398746528"/>
        <c:scaling>
          <c:orientation val="minMax"/>
        </c:scaling>
        <c:delete val="1"/>
        <c:axPos val="b"/>
        <c:numFmt formatCode="0" sourceLinked="1"/>
        <c:majorTickMark val="none"/>
        <c:minorTickMark val="none"/>
        <c:tickLblPos val="nextTo"/>
        <c:crossAx val="3987393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rooms Dashboard.xlsx]Pivot Report !PivotTable10</c:name>
    <c:fmtId val="8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55029102572722E-3"/>
          <c:y val="1.7117210209225322E-2"/>
          <c:w val="0.99430455729592937"/>
          <c:h val="0.98288282824198558"/>
        </c:manualLayout>
      </c:layout>
      <c:barChart>
        <c:barDir val="bar"/>
        <c:grouping val="clustered"/>
        <c:varyColors val="0"/>
        <c:ser>
          <c:idx val="0"/>
          <c:order val="0"/>
          <c:tx>
            <c:strRef>
              <c:f>'Pivot Report '!$B$38</c:f>
              <c:strCache>
                <c:ptCount val="1"/>
                <c:pt idx="0">
                  <c:v>Count of Patient Admission Flag</c:v>
                </c:pt>
              </c:strCache>
            </c:strRef>
          </c:tx>
          <c:spPr>
            <a:solidFill>
              <a:schemeClr val="accent1"/>
            </a:solidFill>
            <a:ln>
              <a:noFill/>
            </a:ln>
            <a:effectLst/>
          </c:spPr>
          <c:invertIfNegative val="0"/>
          <c:cat>
            <c:strRef>
              <c:f>'Pivot Report '!$A$39:$A$41</c:f>
              <c:strCache>
                <c:ptCount val="2"/>
                <c:pt idx="0">
                  <c:v>Admitted</c:v>
                </c:pt>
                <c:pt idx="1">
                  <c:v>Not - Admitted</c:v>
                </c:pt>
              </c:strCache>
            </c:strRef>
          </c:cat>
          <c:val>
            <c:numRef>
              <c:f>'Pivot Report '!$B$39:$B$41</c:f>
              <c:numCache>
                <c:formatCode>0</c:formatCode>
                <c:ptCount val="2"/>
                <c:pt idx="0">
                  <c:v>237</c:v>
                </c:pt>
                <c:pt idx="1">
                  <c:v>242</c:v>
                </c:pt>
              </c:numCache>
            </c:numRef>
          </c:val>
          <c:extLst>
            <c:ext xmlns:c16="http://schemas.microsoft.com/office/drawing/2014/chart" uri="{C3380CC4-5D6E-409C-BE32-E72D297353CC}">
              <c16:uniqueId val="{00000000-5476-4772-A5DC-CBC90DA46F00}"/>
            </c:ext>
          </c:extLst>
        </c:ser>
        <c:ser>
          <c:idx val="1"/>
          <c:order val="1"/>
          <c:tx>
            <c:strRef>
              <c:f>'Pivot Report '!$C$38</c:f>
              <c:strCache>
                <c:ptCount val="1"/>
                <c:pt idx="0">
                  <c:v>Count of Patient Admission Flag2</c:v>
                </c:pt>
              </c:strCache>
            </c:strRef>
          </c:tx>
          <c:spPr>
            <a:solidFill>
              <a:schemeClr val="accent2"/>
            </a:solidFill>
            <a:ln>
              <a:noFill/>
            </a:ln>
            <a:effectLst/>
          </c:spPr>
          <c:invertIfNegative val="0"/>
          <c:cat>
            <c:strRef>
              <c:f>'Pivot Report '!$A$39:$A$41</c:f>
              <c:strCache>
                <c:ptCount val="2"/>
                <c:pt idx="0">
                  <c:v>Admitted</c:v>
                </c:pt>
                <c:pt idx="1">
                  <c:v>Not - Admitted</c:v>
                </c:pt>
              </c:strCache>
            </c:strRef>
          </c:cat>
          <c:val>
            <c:numRef>
              <c:f>'Pivot Report '!$C$39:$C$41</c:f>
              <c:numCache>
                <c:formatCode>0.00%</c:formatCode>
                <c:ptCount val="2"/>
                <c:pt idx="0">
                  <c:v>0.49478079331941544</c:v>
                </c:pt>
                <c:pt idx="1">
                  <c:v>0.50521920668058451</c:v>
                </c:pt>
              </c:numCache>
            </c:numRef>
          </c:val>
          <c:extLst>
            <c:ext xmlns:c16="http://schemas.microsoft.com/office/drawing/2014/chart" uri="{C3380CC4-5D6E-409C-BE32-E72D297353CC}">
              <c16:uniqueId val="{00000001-5476-4772-A5DC-CBC90DA46F00}"/>
            </c:ext>
          </c:extLst>
        </c:ser>
        <c:dLbls>
          <c:showLegendKey val="0"/>
          <c:showVal val="0"/>
          <c:showCatName val="0"/>
          <c:showSerName val="0"/>
          <c:showPercent val="0"/>
          <c:showBubbleSize val="0"/>
        </c:dLbls>
        <c:gapWidth val="40"/>
        <c:overlap val="15"/>
        <c:axId val="398739328"/>
        <c:axId val="398746528"/>
      </c:barChart>
      <c:catAx>
        <c:axId val="398739328"/>
        <c:scaling>
          <c:orientation val="minMax"/>
        </c:scaling>
        <c:delete val="1"/>
        <c:axPos val="l"/>
        <c:numFmt formatCode="General" sourceLinked="1"/>
        <c:majorTickMark val="none"/>
        <c:minorTickMark val="none"/>
        <c:tickLblPos val="nextTo"/>
        <c:crossAx val="398746528"/>
        <c:crosses val="autoZero"/>
        <c:auto val="1"/>
        <c:lblAlgn val="ctr"/>
        <c:lblOffset val="100"/>
        <c:noMultiLvlLbl val="0"/>
      </c:catAx>
      <c:valAx>
        <c:axId val="398746528"/>
        <c:scaling>
          <c:orientation val="minMax"/>
        </c:scaling>
        <c:delete val="1"/>
        <c:axPos val="b"/>
        <c:numFmt formatCode="0" sourceLinked="1"/>
        <c:majorTickMark val="none"/>
        <c:minorTickMark val="none"/>
        <c:tickLblPos val="nextTo"/>
        <c:crossAx val="3987393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rooms Dashboard.xlsx]Pivot Report !PivotTable12</c:name>
    <c:fmtId val="9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Report '!$E$49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47-4C69-B988-330D1AF027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47-4C69-B988-330D1AF027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 '!$D$50:$D$52</c:f>
              <c:strCache>
                <c:ptCount val="2"/>
                <c:pt idx="0">
                  <c:v>Delay</c:v>
                </c:pt>
                <c:pt idx="1">
                  <c:v>On-time</c:v>
                </c:pt>
              </c:strCache>
            </c:strRef>
          </c:cat>
          <c:val>
            <c:numRef>
              <c:f>'Pivot Report '!$E$50:$E$52</c:f>
              <c:numCache>
                <c:formatCode>0</c:formatCode>
                <c:ptCount val="2"/>
                <c:pt idx="0">
                  <c:v>273</c:v>
                </c:pt>
                <c:pt idx="1">
                  <c:v>206</c:v>
                </c:pt>
              </c:numCache>
            </c:numRef>
          </c:val>
          <c:extLst>
            <c:ext xmlns:c16="http://schemas.microsoft.com/office/drawing/2014/chart" uri="{C3380CC4-5D6E-409C-BE32-E72D297353CC}">
              <c16:uniqueId val="{00000004-0947-4C69-B988-330D1AF027D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576884431115501"/>
          <c:y val="0.19791338582677165"/>
          <c:w val="0.29546359264620992"/>
          <c:h val="0.687506561679790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softEdge rad="0"/>
    </a:effectLst>
  </c:spPr>
  <c:txPr>
    <a:bodyPr anchor="b" anchorCtr="1"/>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rooms Dashboard.xlsx]Pivot Report !PivotTable13</c:name>
    <c:fmtId val="9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Report '!$I$49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30-40A0-8458-8B8FAF5B0E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30-40A0-8458-8B8FAF5B0E22}"/>
              </c:ext>
            </c:extLst>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 '!$H$50:$H$53</c:f>
              <c:strCache>
                <c:ptCount val="3"/>
                <c:pt idx="0">
                  <c:v>Female</c:v>
                </c:pt>
                <c:pt idx="1">
                  <c:v>Femaleemale</c:v>
                </c:pt>
                <c:pt idx="2">
                  <c:v>Male</c:v>
                </c:pt>
              </c:strCache>
            </c:strRef>
          </c:cat>
          <c:val>
            <c:numRef>
              <c:f>'Pivot Report '!$I$50:$I$53</c:f>
              <c:numCache>
                <c:formatCode>0</c:formatCode>
                <c:ptCount val="3"/>
                <c:pt idx="0">
                  <c:v>232</c:v>
                </c:pt>
                <c:pt idx="1">
                  <c:v>3</c:v>
                </c:pt>
                <c:pt idx="2">
                  <c:v>244</c:v>
                </c:pt>
              </c:numCache>
            </c:numRef>
          </c:val>
          <c:extLst>
            <c:ext xmlns:c16="http://schemas.microsoft.com/office/drawing/2014/chart" uri="{C3380CC4-5D6E-409C-BE32-E72D297353CC}">
              <c16:uniqueId val="{00000004-F630-40A0-8458-8B8FAF5B0E2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rooms Dashboard.xlsx]Pivot Report !PivotTable14</c:name>
    <c:fmtId val="10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89040006362841"/>
          <c:y val="6.5796631419704793E-2"/>
          <c:w val="0.67404225986903155"/>
          <c:h val="0.72964602165872505"/>
        </c:manualLayout>
      </c:layout>
      <c:barChart>
        <c:barDir val="bar"/>
        <c:grouping val="clustered"/>
        <c:varyColors val="0"/>
        <c:ser>
          <c:idx val="0"/>
          <c:order val="0"/>
          <c:tx>
            <c:strRef>
              <c:f>'Pivot Report '!$L$49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'!$K$50:$K$58</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 '!$L$50:$L$58</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0-A2E6-4557-8F98-B6D52C24FFED}"/>
            </c:ext>
          </c:extLst>
        </c:ser>
        <c:dLbls>
          <c:dLblPos val="outEnd"/>
          <c:showLegendKey val="0"/>
          <c:showVal val="1"/>
          <c:showCatName val="0"/>
          <c:showSerName val="0"/>
          <c:showPercent val="0"/>
          <c:showBubbleSize val="0"/>
        </c:dLbls>
        <c:gapWidth val="182"/>
        <c:axId val="1647502383"/>
        <c:axId val="1647486063"/>
      </c:barChart>
      <c:catAx>
        <c:axId val="16475023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7486063"/>
        <c:crosses val="autoZero"/>
        <c:auto val="1"/>
        <c:lblAlgn val="ctr"/>
        <c:lblOffset val="100"/>
        <c:noMultiLvlLbl val="0"/>
      </c:catAx>
      <c:valAx>
        <c:axId val="1647486063"/>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750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rooms Dashboard.xlsx]Pivot Report !PivotTable11</c:name>
    <c:fmtId val="8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352089917331763E-2"/>
          <c:y val="8.9961580889345374E-3"/>
          <c:w val="0.93428912783751494"/>
          <c:h val="0.55259005201036981"/>
        </c:manualLayout>
      </c:layout>
      <c:barChart>
        <c:barDir val="col"/>
        <c:grouping val="clustered"/>
        <c:varyColors val="0"/>
        <c:ser>
          <c:idx val="0"/>
          <c:order val="0"/>
          <c:tx>
            <c:strRef>
              <c:f>'Pivot Report '!$B$49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'!$A$50:$A$58</c:f>
              <c:strCache>
                <c:ptCount val="8"/>
                <c:pt idx="0">
                  <c:v>0-09</c:v>
                </c:pt>
                <c:pt idx="1">
                  <c:v>10-19</c:v>
                </c:pt>
                <c:pt idx="2">
                  <c:v>20-29</c:v>
                </c:pt>
                <c:pt idx="3">
                  <c:v>30-39</c:v>
                </c:pt>
                <c:pt idx="4">
                  <c:v>40-49</c:v>
                </c:pt>
                <c:pt idx="5">
                  <c:v>50-59</c:v>
                </c:pt>
                <c:pt idx="6">
                  <c:v>60-69</c:v>
                </c:pt>
                <c:pt idx="7">
                  <c:v>70-79</c:v>
                </c:pt>
              </c:strCache>
            </c:strRef>
          </c:cat>
          <c:val>
            <c:numRef>
              <c:f>'Pivot Report '!$B$50:$B$58</c:f>
              <c:numCache>
                <c:formatCode>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0-3949-45C8-8997-19AC1DD2995A}"/>
            </c:ext>
          </c:extLst>
        </c:ser>
        <c:dLbls>
          <c:dLblPos val="outEnd"/>
          <c:showLegendKey val="0"/>
          <c:showVal val="1"/>
          <c:showCatName val="0"/>
          <c:showSerName val="0"/>
          <c:showPercent val="0"/>
          <c:showBubbleSize val="0"/>
        </c:dLbls>
        <c:gapWidth val="219"/>
        <c:overlap val="-27"/>
        <c:axId val="1647532623"/>
        <c:axId val="1647516303"/>
      </c:barChart>
      <c:catAx>
        <c:axId val="1647532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7516303"/>
        <c:crosses val="autoZero"/>
        <c:auto val="1"/>
        <c:lblAlgn val="ctr"/>
        <c:lblOffset val="100"/>
        <c:noMultiLvlLbl val="0"/>
      </c:catAx>
      <c:valAx>
        <c:axId val="1647516303"/>
        <c:scaling>
          <c:orientation val="minMax"/>
        </c:scaling>
        <c:delete val="1"/>
        <c:axPos val="l"/>
        <c:numFmt formatCode="0" sourceLinked="1"/>
        <c:majorTickMark val="none"/>
        <c:minorTickMark val="none"/>
        <c:tickLblPos val="nextTo"/>
        <c:crossAx val="164753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rooms Dashboard.xlsx]Pivot Report !PivotTable8</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665500145815103E-2"/>
          <c:y val="0.7019483141530386"/>
          <c:w val="0.94339200247027943"/>
          <c:h val="0.24677524283823496"/>
        </c:manualLayout>
      </c:layout>
      <c:areaChart>
        <c:grouping val="standard"/>
        <c:varyColors val="0"/>
        <c:ser>
          <c:idx val="0"/>
          <c:order val="0"/>
          <c:tx>
            <c:strRef>
              <c:f>'Pivot Report '!$H$4</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Report '!$G$5:$G$35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 '!$H$5:$H$35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31EF-46E4-900D-1C92CFA64CF2}"/>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47853423"/>
        <c:axId val="147855343"/>
      </c:areaChart>
      <c:catAx>
        <c:axId val="147853423"/>
        <c:scaling>
          <c:orientation val="minMax"/>
        </c:scaling>
        <c:delete val="1"/>
        <c:axPos val="b"/>
        <c:numFmt formatCode="General" sourceLinked="1"/>
        <c:majorTickMark val="none"/>
        <c:minorTickMark val="none"/>
        <c:tickLblPos val="nextTo"/>
        <c:crossAx val="147855343"/>
        <c:crosses val="autoZero"/>
        <c:auto val="1"/>
        <c:lblAlgn val="ctr"/>
        <c:lblOffset val="100"/>
        <c:noMultiLvlLbl val="0"/>
      </c:catAx>
      <c:valAx>
        <c:axId val="147855343"/>
        <c:scaling>
          <c:orientation val="minMax"/>
        </c:scaling>
        <c:delete val="1"/>
        <c:axPos val="l"/>
        <c:numFmt formatCode="0.00" sourceLinked="1"/>
        <c:majorTickMark val="out"/>
        <c:minorTickMark val="none"/>
        <c:tickLblPos val="nextTo"/>
        <c:crossAx val="1478534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rooms Dashboard.xlsx]Pivot Report !PivotTable9</c:name>
    <c:fmtId val="4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83333333333333E-2"/>
          <c:y val="0.67312046799234859"/>
          <c:w val="0.90833333333333333"/>
          <c:h val="0.25501245607010986"/>
        </c:manualLayout>
      </c:layout>
      <c:areaChart>
        <c:grouping val="standard"/>
        <c:varyColors val="0"/>
        <c:ser>
          <c:idx val="0"/>
          <c:order val="0"/>
          <c:tx>
            <c:strRef>
              <c:f>'Pivot Report '!$K$4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Report '!$J$5:$J$35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 '!$K$5:$K$35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0-E325-4304-ABDD-F443C8672DBE}"/>
            </c:ext>
          </c:extLst>
        </c:ser>
        <c:dLbls>
          <c:showLegendKey val="0"/>
          <c:showVal val="0"/>
          <c:showCatName val="0"/>
          <c:showSerName val="0"/>
          <c:showPercent val="0"/>
          <c:showBubbleSize val="0"/>
        </c:dLbls>
        <c:axId val="147953743"/>
        <c:axId val="147956143"/>
      </c:areaChart>
      <c:catAx>
        <c:axId val="147953743"/>
        <c:scaling>
          <c:orientation val="minMax"/>
        </c:scaling>
        <c:delete val="1"/>
        <c:axPos val="b"/>
        <c:numFmt formatCode="General" sourceLinked="1"/>
        <c:majorTickMark val="out"/>
        <c:minorTickMark val="none"/>
        <c:tickLblPos val="nextTo"/>
        <c:crossAx val="147956143"/>
        <c:crosses val="autoZero"/>
        <c:auto val="1"/>
        <c:lblAlgn val="ctr"/>
        <c:lblOffset val="100"/>
        <c:noMultiLvlLbl val="0"/>
      </c:catAx>
      <c:valAx>
        <c:axId val="147956143"/>
        <c:scaling>
          <c:orientation val="minMax"/>
        </c:scaling>
        <c:delete val="1"/>
        <c:axPos val="l"/>
        <c:numFmt formatCode="0.00" sourceLinked="1"/>
        <c:majorTickMark val="none"/>
        <c:minorTickMark val="none"/>
        <c:tickLblPos val="nextTo"/>
        <c:crossAx val="147953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rooms Dashboard.xlsx]Pivot Report !PivotTable7</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084778420038536E-2"/>
          <c:y val="0.73369565217391308"/>
          <c:w val="0.95664739884393069"/>
          <c:h val="0.2391304347826087"/>
        </c:manualLayout>
      </c:layout>
      <c:areaChart>
        <c:grouping val="standard"/>
        <c:varyColors val="0"/>
        <c:ser>
          <c:idx val="0"/>
          <c:order val="0"/>
          <c:tx>
            <c:strRef>
              <c:f>'Pivot Report '!$D$4</c:f>
              <c:strCache>
                <c:ptCount val="1"/>
                <c:pt idx="0">
                  <c:v>Total</c:v>
                </c:pt>
              </c:strCache>
            </c:strRef>
          </c:tx>
          <c:spPr>
            <a:solidFill>
              <a:schemeClr val="accent1"/>
            </a:solidFill>
            <a:ln>
              <a:noFill/>
            </a:ln>
            <a:effectLst/>
          </c:spPr>
          <c:cat>
            <c:strRef>
              <c:f>'Pivot Report '!$C$5:$C$35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 '!$D$5:$D$35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F57B-478E-B3FE-E44312DEC31C}"/>
            </c:ext>
          </c:extLst>
        </c:ser>
        <c:dLbls>
          <c:showLegendKey val="0"/>
          <c:showVal val="0"/>
          <c:showCatName val="0"/>
          <c:showSerName val="0"/>
          <c:showPercent val="0"/>
          <c:showBubbleSize val="0"/>
        </c:dLbls>
        <c:axId val="147940783"/>
        <c:axId val="147955663"/>
      </c:areaChart>
      <c:catAx>
        <c:axId val="147940783"/>
        <c:scaling>
          <c:orientation val="minMax"/>
        </c:scaling>
        <c:delete val="1"/>
        <c:axPos val="b"/>
        <c:numFmt formatCode="General" sourceLinked="1"/>
        <c:majorTickMark val="out"/>
        <c:minorTickMark val="none"/>
        <c:tickLblPos val="nextTo"/>
        <c:crossAx val="147955663"/>
        <c:crosses val="autoZero"/>
        <c:auto val="1"/>
        <c:lblAlgn val="ctr"/>
        <c:lblOffset val="100"/>
        <c:noMultiLvlLbl val="0"/>
      </c:catAx>
      <c:valAx>
        <c:axId val="147955663"/>
        <c:scaling>
          <c:orientation val="minMax"/>
        </c:scaling>
        <c:delete val="1"/>
        <c:axPos val="l"/>
        <c:numFmt formatCode="General" sourceLinked="1"/>
        <c:majorTickMark val="none"/>
        <c:minorTickMark val="none"/>
        <c:tickLblPos val="nextTo"/>
        <c:crossAx val="1479407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rooms Dashboard.xlsx]Pivot Report !PivotTable9</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 '!$J$5:$J$35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 '!$K$5:$K$35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0-2A10-4585-B953-93E34EB4A73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7953743"/>
        <c:axId val="147956143"/>
      </c:areaChart>
      <c:catAx>
        <c:axId val="1479537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7956143"/>
        <c:crosses val="autoZero"/>
        <c:auto val="1"/>
        <c:lblAlgn val="ctr"/>
        <c:lblOffset val="100"/>
        <c:noMultiLvlLbl val="0"/>
      </c:catAx>
      <c:valAx>
        <c:axId val="147956143"/>
        <c:scaling>
          <c:orientation val="minMax"/>
        </c:scaling>
        <c:delete val="1"/>
        <c:axPos val="l"/>
        <c:numFmt formatCode="0.00" sourceLinked="1"/>
        <c:majorTickMark val="out"/>
        <c:minorTickMark val="none"/>
        <c:tickLblPos val="nextTo"/>
        <c:crossAx val="14795374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rooms Dashboard.xlsx]Pivot Report !PivotTable8</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16302027990442E-2"/>
          <c:y val="1.7014099199138568E-2"/>
          <c:w val="0.94339200247027943"/>
          <c:h val="0.80233086849720703"/>
        </c:manualLayout>
      </c:layout>
      <c:areaChart>
        <c:grouping val="standard"/>
        <c:varyColors val="0"/>
        <c:ser>
          <c:idx val="0"/>
          <c:order val="0"/>
          <c:tx>
            <c:strRef>
              <c:f>'Pivot Report '!$H$4</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 '!$G$5:$G$35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 '!$H$5:$H$35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9F4D-4F46-A175-9A6233794ABA}"/>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47853423"/>
        <c:axId val="147855343"/>
      </c:areaChart>
      <c:catAx>
        <c:axId val="14785342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47855343"/>
        <c:crosses val="autoZero"/>
        <c:auto val="1"/>
        <c:lblAlgn val="ctr"/>
        <c:lblOffset val="100"/>
        <c:noMultiLvlLbl val="0"/>
      </c:catAx>
      <c:valAx>
        <c:axId val="14785534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8534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rooms Dashboard.xlsx]Pivot Report !PivotTable7</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'!$D$4</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'!$C$5:$C$35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 '!$D$5:$D$35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4405-4840-A3CF-A98F5CDAF368}"/>
            </c:ext>
          </c:extLst>
        </c:ser>
        <c:dLbls>
          <c:showLegendKey val="0"/>
          <c:showVal val="1"/>
          <c:showCatName val="0"/>
          <c:showSerName val="0"/>
          <c:showPercent val="0"/>
          <c:showBubbleSize val="0"/>
        </c:dLbls>
        <c:axId val="147940783"/>
        <c:axId val="147955663"/>
      </c:areaChart>
      <c:catAx>
        <c:axId val="147940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55663"/>
        <c:crosses val="autoZero"/>
        <c:auto val="1"/>
        <c:lblAlgn val="ctr"/>
        <c:lblOffset val="100"/>
        <c:noMultiLvlLbl val="0"/>
      </c:catAx>
      <c:valAx>
        <c:axId val="147955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407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5.png"/><Relationship Id="rId3" Type="http://schemas.openxmlformats.org/officeDocument/2006/relationships/chart" Target="../charts/chart6.xml"/><Relationship Id="rId7" Type="http://schemas.openxmlformats.org/officeDocument/2006/relationships/chart" Target="../charts/chart9.xml"/><Relationship Id="rId12" Type="http://schemas.openxmlformats.org/officeDocument/2006/relationships/image" Target="../media/image4.svg"/><Relationship Id="rId17" Type="http://schemas.openxmlformats.org/officeDocument/2006/relationships/image" Target="../media/image8.svg"/><Relationship Id="rId2" Type="http://schemas.openxmlformats.org/officeDocument/2006/relationships/chart" Target="../charts/chart5.xml"/><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image" Target="../media/image2.emf"/><Relationship Id="rId11" Type="http://schemas.openxmlformats.org/officeDocument/2006/relationships/image" Target="../media/image3.png"/><Relationship Id="rId5" Type="http://schemas.openxmlformats.org/officeDocument/2006/relationships/chart" Target="../charts/chart8.xml"/><Relationship Id="rId15" Type="http://schemas.openxmlformats.org/officeDocument/2006/relationships/hyperlink" Target="#'Average Wait Time Daily Trend'!A1"/><Relationship Id="rId10" Type="http://schemas.openxmlformats.org/officeDocument/2006/relationships/hyperlink" Target="#'Daily ER No of Patient'!A1"/><Relationship Id="rId4" Type="http://schemas.openxmlformats.org/officeDocument/2006/relationships/chart" Target="../charts/chart7.xml"/><Relationship Id="rId9" Type="http://schemas.openxmlformats.org/officeDocument/2006/relationships/chart" Target="../charts/chart11.xml"/><Relationship Id="rId14" Type="http://schemas.openxmlformats.org/officeDocument/2006/relationships/image" Target="../media/image6.svg"/></Relationships>
</file>

<file path=xl/drawings/_rels/drawing7.xml.rels><?xml version="1.0" encoding="UTF-8" standalone="yes"?>
<Relationships xmlns="http://schemas.openxmlformats.org/package/2006/relationships"><Relationship Id="rId1" Type="http://schemas.openxmlformats.org/officeDocument/2006/relationships/hyperlink" Target="#'Average Wait Time Daily Trend'!A1"/></Relationships>
</file>

<file path=xl/drawings/_rels/drawing8.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12.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hyperlink" Target="#Dashboard!A1"/><Relationship Id="rId1" Type="http://schemas.openxmlformats.org/officeDocument/2006/relationships/chart" Target="../charts/chart14.xml"/></Relationships>
</file>

<file path=xl/drawings/_rels/drawing13.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8021</xdr:colOff>
      <xdr:row>43</xdr:row>
      <xdr:rowOff>148394</xdr:rowOff>
    </xdr:from>
    <xdr:to>
      <xdr:col>3</xdr:col>
      <xdr:colOff>1479884</xdr:colOff>
      <xdr:row>46</xdr:row>
      <xdr:rowOff>40107</xdr:rowOff>
    </xdr:to>
    <xdr:graphicFrame macro="">
      <xdr:nvGraphicFramePr>
        <xdr:cNvPr id="2" name="Chart 1">
          <a:extLst>
            <a:ext uri="{FF2B5EF4-FFF2-40B4-BE49-F238E27FC236}">
              <a16:creationId xmlns:a16="http://schemas.microsoft.com/office/drawing/2014/main" id="{3181885B-B001-4054-B339-9E812CF35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8021</xdr:colOff>
      <xdr:row>43</xdr:row>
      <xdr:rowOff>148394</xdr:rowOff>
    </xdr:from>
    <xdr:to>
      <xdr:col>3</xdr:col>
      <xdr:colOff>1479884</xdr:colOff>
      <xdr:row>46</xdr:row>
      <xdr:rowOff>40107</xdr:rowOff>
    </xdr:to>
    <xdr:graphicFrame macro="">
      <xdr:nvGraphicFramePr>
        <xdr:cNvPr id="3" name="Chart 2">
          <a:extLst>
            <a:ext uri="{FF2B5EF4-FFF2-40B4-BE49-F238E27FC236}">
              <a16:creationId xmlns:a16="http://schemas.microsoft.com/office/drawing/2014/main" id="{1D69CBC6-E380-4AF6-9691-9D4523100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8021</xdr:colOff>
      <xdr:row>43</xdr:row>
      <xdr:rowOff>148394</xdr:rowOff>
    </xdr:from>
    <xdr:to>
      <xdr:col>3</xdr:col>
      <xdr:colOff>1479884</xdr:colOff>
      <xdr:row>46</xdr:row>
      <xdr:rowOff>40107</xdr:rowOff>
    </xdr:to>
    <xdr:graphicFrame macro="">
      <xdr:nvGraphicFramePr>
        <xdr:cNvPr id="4" name="Chart 3">
          <a:extLst>
            <a:ext uri="{FF2B5EF4-FFF2-40B4-BE49-F238E27FC236}">
              <a16:creationId xmlns:a16="http://schemas.microsoft.com/office/drawing/2014/main" id="{EB02DA10-4D3A-473B-9E41-4FC239F2F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8021</xdr:colOff>
      <xdr:row>43</xdr:row>
      <xdr:rowOff>148394</xdr:rowOff>
    </xdr:from>
    <xdr:to>
      <xdr:col>3</xdr:col>
      <xdr:colOff>1479884</xdr:colOff>
      <xdr:row>46</xdr:row>
      <xdr:rowOff>40107</xdr:rowOff>
    </xdr:to>
    <xdr:graphicFrame macro="">
      <xdr:nvGraphicFramePr>
        <xdr:cNvPr id="5" name="Chart 4">
          <a:extLst>
            <a:ext uri="{FF2B5EF4-FFF2-40B4-BE49-F238E27FC236}">
              <a16:creationId xmlns:a16="http://schemas.microsoft.com/office/drawing/2014/main" id="{D878FE53-23B8-4485-8327-75366C759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327660</xdr:colOff>
      <xdr:row>6</xdr:row>
      <xdr:rowOff>45720</xdr:rowOff>
    </xdr:from>
    <xdr:to>
      <xdr:col>15</xdr:col>
      <xdr:colOff>510540</xdr:colOff>
      <xdr:row>18</xdr:row>
      <xdr:rowOff>7620</xdr:rowOff>
    </xdr:to>
    <xdr:sp macro="" textlink="">
      <xdr:nvSpPr>
        <xdr:cNvPr id="61" name="Rectangle: Rounded Corners 60">
          <a:extLst>
            <a:ext uri="{FF2B5EF4-FFF2-40B4-BE49-F238E27FC236}">
              <a16:creationId xmlns:a16="http://schemas.microsoft.com/office/drawing/2014/main" id="{E1AEF72A-448D-69FA-103B-D9946C4DB3B8}"/>
            </a:ext>
          </a:extLst>
        </xdr:cNvPr>
        <xdr:cNvSpPr/>
      </xdr:nvSpPr>
      <xdr:spPr>
        <a:xfrm>
          <a:off x="5814060" y="1143000"/>
          <a:ext cx="3840480" cy="2156460"/>
        </a:xfrm>
        <a:prstGeom prst="roundRect">
          <a:avLst/>
        </a:prstGeom>
        <a:solidFill>
          <a:schemeClr val="bg1"/>
        </a:solidFill>
        <a:ln>
          <a:solidFill>
            <a:schemeClr val="bg1">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4</xdr:row>
      <xdr:rowOff>38100</xdr:rowOff>
    </xdr:from>
    <xdr:to>
      <xdr:col>1</xdr:col>
      <xdr:colOff>373380</xdr:colOff>
      <xdr:row>18</xdr:row>
      <xdr:rowOff>99060</xdr:rowOff>
    </xdr:to>
    <xdr:sp macro="" textlink="">
      <xdr:nvSpPr>
        <xdr:cNvPr id="58" name="Rectangle: Rounded Corners 57">
          <a:extLst>
            <a:ext uri="{FF2B5EF4-FFF2-40B4-BE49-F238E27FC236}">
              <a16:creationId xmlns:a16="http://schemas.microsoft.com/office/drawing/2014/main" id="{617C91C0-5B9B-9C29-EC7A-2A5CBF02CBC5}"/>
            </a:ext>
          </a:extLst>
        </xdr:cNvPr>
        <xdr:cNvSpPr/>
      </xdr:nvSpPr>
      <xdr:spPr>
        <a:xfrm>
          <a:off x="38100" y="769620"/>
          <a:ext cx="944880" cy="262128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15240</xdr:colOff>
      <xdr:row>0</xdr:row>
      <xdr:rowOff>0</xdr:rowOff>
    </xdr:from>
    <xdr:to>
      <xdr:col>7</xdr:col>
      <xdr:colOff>304800</xdr:colOff>
      <xdr:row>4</xdr:row>
      <xdr:rowOff>30480</xdr:rowOff>
    </xdr:to>
    <xdr:grpSp>
      <xdr:nvGrpSpPr>
        <xdr:cNvPr id="57" name="Group 56">
          <a:extLst>
            <a:ext uri="{FF2B5EF4-FFF2-40B4-BE49-F238E27FC236}">
              <a16:creationId xmlns:a16="http://schemas.microsoft.com/office/drawing/2014/main" id="{759628D8-B532-9C64-D896-55400CFE40A2}"/>
            </a:ext>
          </a:extLst>
        </xdr:cNvPr>
        <xdr:cNvGrpSpPr/>
      </xdr:nvGrpSpPr>
      <xdr:grpSpPr>
        <a:xfrm>
          <a:off x="15240" y="0"/>
          <a:ext cx="4556760" cy="762000"/>
          <a:chOff x="91440" y="0"/>
          <a:chExt cx="4533900" cy="762000"/>
        </a:xfrm>
      </xdr:grpSpPr>
      <xdr:sp macro="" textlink="">
        <xdr:nvSpPr>
          <xdr:cNvPr id="2" name="Rectangle: Rounded Corners 1">
            <a:extLst>
              <a:ext uri="{FF2B5EF4-FFF2-40B4-BE49-F238E27FC236}">
                <a16:creationId xmlns:a16="http://schemas.microsoft.com/office/drawing/2014/main" id="{7ADD2124-517E-6E4C-B3FA-D65FB390F461}"/>
              </a:ext>
            </a:extLst>
          </xdr:cNvPr>
          <xdr:cNvSpPr/>
        </xdr:nvSpPr>
        <xdr:spPr>
          <a:xfrm>
            <a:off x="91440" y="0"/>
            <a:ext cx="4533900" cy="762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3" name="TextBox 2">
            <a:extLst>
              <a:ext uri="{FF2B5EF4-FFF2-40B4-BE49-F238E27FC236}">
                <a16:creationId xmlns:a16="http://schemas.microsoft.com/office/drawing/2014/main" id="{82A6FB29-E9BE-1A42-A112-1D050F6F788E}"/>
              </a:ext>
            </a:extLst>
          </xdr:cNvPr>
          <xdr:cNvSpPr txBox="1"/>
        </xdr:nvSpPr>
        <xdr:spPr>
          <a:xfrm>
            <a:off x="1333500" y="99060"/>
            <a:ext cx="3147060" cy="3429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500">
                <a:solidFill>
                  <a:schemeClr val="dk1"/>
                </a:solidFill>
                <a:effectLst/>
                <a:latin typeface="+mn-lt"/>
                <a:ea typeface="+mn-ea"/>
                <a:cs typeface="+mn-cs"/>
              </a:rPr>
              <a:t>Hospital Emergency Room Dashboard </a:t>
            </a:r>
            <a:endParaRPr lang="en-IN" sz="1500">
              <a:effectLst/>
            </a:endParaRPr>
          </a:p>
          <a:p>
            <a:endParaRPr lang="en-IN" sz="1100"/>
          </a:p>
        </xdr:txBody>
      </xdr:sp>
      <xdr:sp macro="" textlink="">
        <xdr:nvSpPr>
          <xdr:cNvPr id="4" name="TextBox 3">
            <a:extLst>
              <a:ext uri="{FF2B5EF4-FFF2-40B4-BE49-F238E27FC236}">
                <a16:creationId xmlns:a16="http://schemas.microsoft.com/office/drawing/2014/main" id="{5564EE15-634F-4FC7-AEB6-46E37E8D4940}"/>
              </a:ext>
            </a:extLst>
          </xdr:cNvPr>
          <xdr:cNvSpPr txBox="1"/>
        </xdr:nvSpPr>
        <xdr:spPr>
          <a:xfrm>
            <a:off x="2179320" y="449580"/>
            <a:ext cx="1150620" cy="2667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Monthly</a:t>
            </a:r>
            <a:r>
              <a:rPr lang="en-IN" sz="1100" baseline="0">
                <a:solidFill>
                  <a:schemeClr val="dk1"/>
                </a:solidFill>
                <a:effectLst/>
                <a:latin typeface="+mn-lt"/>
                <a:ea typeface="+mn-ea"/>
                <a:cs typeface="+mn-cs"/>
              </a:rPr>
              <a:t> Report </a:t>
            </a:r>
            <a:endParaRPr lang="en-IN" sz="1600">
              <a:effectLst/>
            </a:endParaRPr>
          </a:p>
        </xdr:txBody>
      </xdr:sp>
      <xdr:pic>
        <xdr:nvPicPr>
          <xdr:cNvPr id="5" name="Picture 4">
            <a:extLst>
              <a:ext uri="{FF2B5EF4-FFF2-40B4-BE49-F238E27FC236}">
                <a16:creationId xmlns:a16="http://schemas.microsoft.com/office/drawing/2014/main" id="{5099100C-24C7-471A-BE4D-9A668AD468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20" r="23808" b="15669"/>
          <a:stretch>
            <a:fillRect/>
          </a:stretch>
        </xdr:blipFill>
        <xdr:spPr>
          <a:xfrm>
            <a:off x="114300" y="0"/>
            <a:ext cx="1028700" cy="727681"/>
          </a:xfrm>
          <a:prstGeom prst="rect">
            <a:avLst/>
          </a:prstGeom>
        </xdr:spPr>
      </xdr:pic>
    </xdr:grpSp>
    <xdr:clientData/>
  </xdr:twoCellAnchor>
  <xdr:twoCellAnchor>
    <xdr:from>
      <xdr:col>9</xdr:col>
      <xdr:colOff>304800</xdr:colOff>
      <xdr:row>0</xdr:row>
      <xdr:rowOff>15240</xdr:rowOff>
    </xdr:from>
    <xdr:to>
      <xdr:col>12</xdr:col>
      <xdr:colOff>342900</xdr:colOff>
      <xdr:row>5</xdr:row>
      <xdr:rowOff>160020</xdr:rowOff>
    </xdr:to>
    <xdr:grpSp>
      <xdr:nvGrpSpPr>
        <xdr:cNvPr id="52" name="Group 51">
          <a:extLst>
            <a:ext uri="{FF2B5EF4-FFF2-40B4-BE49-F238E27FC236}">
              <a16:creationId xmlns:a16="http://schemas.microsoft.com/office/drawing/2014/main" id="{3047C097-1FF7-E860-0D2C-84E8A72B31AA}"/>
            </a:ext>
          </a:extLst>
        </xdr:cNvPr>
        <xdr:cNvGrpSpPr/>
      </xdr:nvGrpSpPr>
      <xdr:grpSpPr>
        <a:xfrm>
          <a:off x="5791200" y="15240"/>
          <a:ext cx="1866900" cy="1059180"/>
          <a:chOff x="5791200" y="45720"/>
          <a:chExt cx="2103120" cy="967740"/>
        </a:xfrm>
      </xdr:grpSpPr>
      <xdr:sp macro="" textlink="">
        <xdr:nvSpPr>
          <xdr:cNvPr id="51" name="Rectangle: Rounded Corners 50">
            <a:extLst>
              <a:ext uri="{FF2B5EF4-FFF2-40B4-BE49-F238E27FC236}">
                <a16:creationId xmlns:a16="http://schemas.microsoft.com/office/drawing/2014/main" id="{E9267927-BF52-8357-588A-0E8C8940BDE7}"/>
              </a:ext>
            </a:extLst>
          </xdr:cNvPr>
          <xdr:cNvSpPr/>
        </xdr:nvSpPr>
        <xdr:spPr>
          <a:xfrm>
            <a:off x="5791200" y="45720"/>
            <a:ext cx="2103120" cy="96774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graphicFrame macro="">
        <xdr:nvGraphicFramePr>
          <xdr:cNvPr id="6" name="Chart 5">
            <a:extLst>
              <a:ext uri="{FF2B5EF4-FFF2-40B4-BE49-F238E27FC236}">
                <a16:creationId xmlns:a16="http://schemas.microsoft.com/office/drawing/2014/main" id="{642ACD4B-A1D3-48C1-A189-8E1788AF10F7}"/>
              </a:ext>
            </a:extLst>
          </xdr:cNvPr>
          <xdr:cNvGraphicFramePr>
            <a:graphicFrameLocks/>
          </xdr:cNvGraphicFramePr>
        </xdr:nvGraphicFramePr>
        <xdr:xfrm>
          <a:off x="5875020" y="60960"/>
          <a:ext cx="1928255" cy="9144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12</xdr:col>
      <xdr:colOff>388620</xdr:colOff>
      <xdr:row>0</xdr:row>
      <xdr:rowOff>0</xdr:rowOff>
    </xdr:from>
    <xdr:to>
      <xdr:col>15</xdr:col>
      <xdr:colOff>472440</xdr:colOff>
      <xdr:row>5</xdr:row>
      <xdr:rowOff>160020</xdr:rowOff>
    </xdr:to>
    <xdr:grpSp>
      <xdr:nvGrpSpPr>
        <xdr:cNvPr id="54" name="Group 53">
          <a:extLst>
            <a:ext uri="{FF2B5EF4-FFF2-40B4-BE49-F238E27FC236}">
              <a16:creationId xmlns:a16="http://schemas.microsoft.com/office/drawing/2014/main" id="{7048AC5C-0226-ED23-AD0F-25A8C211AE84}"/>
            </a:ext>
          </a:extLst>
        </xdr:cNvPr>
        <xdr:cNvGrpSpPr/>
      </xdr:nvGrpSpPr>
      <xdr:grpSpPr>
        <a:xfrm>
          <a:off x="7703820" y="0"/>
          <a:ext cx="1912620" cy="1074420"/>
          <a:chOff x="1112520" y="3482340"/>
          <a:chExt cx="2278380" cy="1097280"/>
        </a:xfrm>
      </xdr:grpSpPr>
      <xdr:sp macro="" textlink="">
        <xdr:nvSpPr>
          <xdr:cNvPr id="53" name="Rectangle: Rounded Corners 52">
            <a:extLst>
              <a:ext uri="{FF2B5EF4-FFF2-40B4-BE49-F238E27FC236}">
                <a16:creationId xmlns:a16="http://schemas.microsoft.com/office/drawing/2014/main" id="{773E5901-74C0-0276-AC16-13536C0B3A47}"/>
              </a:ext>
            </a:extLst>
          </xdr:cNvPr>
          <xdr:cNvSpPr/>
        </xdr:nvSpPr>
        <xdr:spPr>
          <a:xfrm>
            <a:off x="1112520" y="3482340"/>
            <a:ext cx="2278380" cy="109728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 name="Chart 6">
            <a:extLst>
              <a:ext uri="{FF2B5EF4-FFF2-40B4-BE49-F238E27FC236}">
                <a16:creationId xmlns:a16="http://schemas.microsoft.com/office/drawing/2014/main" id="{DECD7634-244E-4646-AB9F-EC9F454C2711}"/>
              </a:ext>
            </a:extLst>
          </xdr:cNvPr>
          <xdr:cNvGraphicFramePr>
            <a:graphicFrameLocks/>
          </xdr:cNvGraphicFramePr>
        </xdr:nvGraphicFramePr>
        <xdr:xfrm>
          <a:off x="1303020" y="3482340"/>
          <a:ext cx="1882139" cy="107441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7</xdr:col>
      <xdr:colOff>312419</xdr:colOff>
      <xdr:row>0</xdr:row>
      <xdr:rowOff>22860</xdr:rowOff>
    </xdr:from>
    <xdr:to>
      <xdr:col>9</xdr:col>
      <xdr:colOff>259080</xdr:colOff>
      <xdr:row>3</xdr:row>
      <xdr:rowOff>137160</xdr:rowOff>
    </xdr:to>
    <xdr:grpSp>
      <xdr:nvGrpSpPr>
        <xdr:cNvPr id="56" name="Group 55">
          <a:extLst>
            <a:ext uri="{FF2B5EF4-FFF2-40B4-BE49-F238E27FC236}">
              <a16:creationId xmlns:a16="http://schemas.microsoft.com/office/drawing/2014/main" id="{0A2DECC3-0817-2120-749B-8D4BD736A505}"/>
            </a:ext>
          </a:extLst>
        </xdr:cNvPr>
        <xdr:cNvGrpSpPr/>
      </xdr:nvGrpSpPr>
      <xdr:grpSpPr>
        <a:xfrm>
          <a:off x="4579619" y="22860"/>
          <a:ext cx="1165861" cy="662940"/>
          <a:chOff x="1661160" y="3840480"/>
          <a:chExt cx="1212438" cy="662940"/>
        </a:xfrm>
      </xdr:grpSpPr>
      <xdr:sp macro="" textlink="">
        <xdr:nvSpPr>
          <xdr:cNvPr id="55" name="Rectangle: Rounded Corners 54">
            <a:extLst>
              <a:ext uri="{FF2B5EF4-FFF2-40B4-BE49-F238E27FC236}">
                <a16:creationId xmlns:a16="http://schemas.microsoft.com/office/drawing/2014/main" id="{1501B937-7308-DDB4-D93A-FA17AB8F4E56}"/>
              </a:ext>
            </a:extLst>
          </xdr:cNvPr>
          <xdr:cNvSpPr/>
        </xdr:nvSpPr>
        <xdr:spPr>
          <a:xfrm>
            <a:off x="1677258" y="3840480"/>
            <a:ext cx="1196340" cy="662940"/>
          </a:xfrm>
          <a:prstGeom prst="roundRect">
            <a:avLst/>
          </a:prstGeom>
          <a:solidFill>
            <a:schemeClr val="bg1"/>
          </a:solidFill>
          <a:ln>
            <a:solidFill>
              <a:schemeClr val="bg1"/>
            </a:solidFill>
          </a:ln>
          <a:scene3d>
            <a:camera prst="orthographicFront"/>
            <a:lightRig rig="threePt" dir="t"/>
          </a:scene3d>
          <a:sp3d contourW="12700">
            <a:contourClr>
              <a:schemeClr val="bg1"/>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mc:AlternateContent xmlns:mc="http://schemas.openxmlformats.org/markup-compatibility/2006">
        <mc:Choice xmlns:a14="http://schemas.microsoft.com/office/drawing/2010/main" Requires="a14">
          <xdr:graphicFrame macro="">
            <xdr:nvGraphicFramePr>
              <xdr:cNvPr id="8" name="Date (Year)">
                <a:extLst>
                  <a:ext uri="{FF2B5EF4-FFF2-40B4-BE49-F238E27FC236}">
                    <a16:creationId xmlns:a16="http://schemas.microsoft.com/office/drawing/2014/main" id="{2E44CBBA-F5FA-D526-5CED-1DB72DFCE2BD}"/>
                  </a:ext>
                </a:extLst>
              </xdr:cNvPr>
              <xdr:cNvGraphicFramePr>
                <a:graphicFrameLocks/>
              </xdr:cNvGraphicFramePr>
            </xdr:nvGraphicFramePr>
            <xdr:xfrm>
              <a:off x="1661160" y="4006020"/>
              <a:ext cx="1203960" cy="36000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579619" y="188400"/>
                <a:ext cx="1157709" cy="3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9</xdr:col>
      <xdr:colOff>327660</xdr:colOff>
      <xdr:row>6</xdr:row>
      <xdr:rowOff>7620</xdr:rowOff>
    </xdr:from>
    <xdr:to>
      <xdr:col>15</xdr:col>
      <xdr:colOff>495300</xdr:colOff>
      <xdr:row>18</xdr:row>
      <xdr:rowOff>99059</xdr:rowOff>
    </xdr:to>
    <xdr:graphicFrame macro="">
      <xdr:nvGraphicFramePr>
        <xdr:cNvPr id="9" name="Chart 8">
          <a:extLst>
            <a:ext uri="{FF2B5EF4-FFF2-40B4-BE49-F238E27FC236}">
              <a16:creationId xmlns:a16="http://schemas.microsoft.com/office/drawing/2014/main" id="{B0387DF9-9749-47A0-8EEF-99A6543B1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68580</xdr:colOff>
      <xdr:row>4</xdr:row>
      <xdr:rowOff>121920</xdr:rowOff>
    </xdr:from>
    <xdr:to>
      <xdr:col>1</xdr:col>
      <xdr:colOff>342900</xdr:colOff>
      <xdr:row>18</xdr:row>
      <xdr:rowOff>53340</xdr:rowOff>
    </xdr:to>
    <mc:AlternateContent xmlns:mc="http://schemas.openxmlformats.org/markup-compatibility/2006">
      <mc:Choice xmlns:a14="http://schemas.microsoft.com/office/drawing/2010/main" Requires="a14">
        <xdr:graphicFrame macro="">
          <xdr:nvGraphicFramePr>
            <xdr:cNvPr id="10" name="Date (Month)">
              <a:extLst>
                <a:ext uri="{FF2B5EF4-FFF2-40B4-BE49-F238E27FC236}">
                  <a16:creationId xmlns:a16="http://schemas.microsoft.com/office/drawing/2014/main" id="{F49C27E4-56C4-64D8-D252-A51ACCFB489B}"/>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68580" y="853440"/>
              <a:ext cx="883920" cy="249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419100</xdr:colOff>
      <xdr:row>12</xdr:row>
      <xdr:rowOff>60960</xdr:rowOff>
    </xdr:from>
    <xdr:to>
      <xdr:col>9</xdr:col>
      <xdr:colOff>289560</xdr:colOff>
      <xdr:row>18</xdr:row>
      <xdr:rowOff>45720</xdr:rowOff>
    </xdr:to>
    <xdr:grpSp>
      <xdr:nvGrpSpPr>
        <xdr:cNvPr id="60" name="Group 59">
          <a:extLst>
            <a:ext uri="{FF2B5EF4-FFF2-40B4-BE49-F238E27FC236}">
              <a16:creationId xmlns:a16="http://schemas.microsoft.com/office/drawing/2014/main" id="{7AE65A42-DAAC-8A22-7504-6F95E43FA7AE}"/>
            </a:ext>
          </a:extLst>
        </xdr:cNvPr>
        <xdr:cNvGrpSpPr/>
      </xdr:nvGrpSpPr>
      <xdr:grpSpPr>
        <a:xfrm>
          <a:off x="1028700" y="2255520"/>
          <a:ext cx="4747260" cy="1082040"/>
          <a:chOff x="1036320" y="2255520"/>
          <a:chExt cx="4747260" cy="1196340"/>
        </a:xfrm>
      </xdr:grpSpPr>
      <xdr:sp macro="" textlink="">
        <xdr:nvSpPr>
          <xdr:cNvPr id="59" name="Rectangle: Rounded Corners 58">
            <a:extLst>
              <a:ext uri="{FF2B5EF4-FFF2-40B4-BE49-F238E27FC236}">
                <a16:creationId xmlns:a16="http://schemas.microsoft.com/office/drawing/2014/main" id="{3DE6459D-D717-6570-2189-66743697CF8D}"/>
              </a:ext>
            </a:extLst>
          </xdr:cNvPr>
          <xdr:cNvSpPr/>
        </xdr:nvSpPr>
        <xdr:spPr>
          <a:xfrm>
            <a:off x="1036320" y="2255520"/>
            <a:ext cx="4747260" cy="11963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1" name="Chart 10">
            <a:extLst>
              <a:ext uri="{FF2B5EF4-FFF2-40B4-BE49-F238E27FC236}">
                <a16:creationId xmlns:a16="http://schemas.microsoft.com/office/drawing/2014/main" id="{14777E8A-8471-4B23-ACF7-9947A5471D43}"/>
              </a:ext>
            </a:extLst>
          </xdr:cNvPr>
          <xdr:cNvGraphicFramePr>
            <a:graphicFrameLocks/>
          </xdr:cNvGraphicFramePr>
        </xdr:nvGraphicFramePr>
        <xdr:xfrm>
          <a:off x="1127760" y="2331720"/>
          <a:ext cx="4480560" cy="105156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mc:AlternateContent xmlns:mc="http://schemas.openxmlformats.org/markup-compatibility/2006">
    <mc:Choice xmlns:a14="http://schemas.microsoft.com/office/drawing/2010/main" Requires="a14">
      <xdr:twoCellAnchor editAs="oneCell">
        <xdr:from>
          <xdr:col>1</xdr:col>
          <xdr:colOff>426720</xdr:colOff>
          <xdr:row>9</xdr:row>
          <xdr:rowOff>60960</xdr:rowOff>
        </xdr:from>
        <xdr:to>
          <xdr:col>9</xdr:col>
          <xdr:colOff>297180</xdr:colOff>
          <xdr:row>12</xdr:row>
          <xdr:rowOff>30251</xdr:rowOff>
        </xdr:to>
        <xdr:pic>
          <xdr:nvPicPr>
            <xdr:cNvPr id="36" name="Picture 35">
              <a:extLst>
                <a:ext uri="{FF2B5EF4-FFF2-40B4-BE49-F238E27FC236}">
                  <a16:creationId xmlns:a16="http://schemas.microsoft.com/office/drawing/2014/main" id="{CF117001-BD3D-4F1B-B8BC-A6C2BCA3A09E}"/>
                </a:ext>
              </a:extLst>
            </xdr:cNvPr>
            <xdr:cNvPicPr>
              <a:picLocks noChangeAspect="1" noChangeArrowheads="1"/>
              <a:extLst>
                <a:ext uri="{84589F7E-364E-4C9E-8A38-B11213B215E9}">
                  <a14:cameraTool cellRange="'[1]Pivot Report '!$A$44:$D$46" spid="_x0000_s2061"/>
                </a:ext>
              </a:extLst>
            </xdr:cNvPicPr>
          </xdr:nvPicPr>
          <xdr:blipFill>
            <a:blip xmlns:r="http://schemas.openxmlformats.org/officeDocument/2006/relationships" r:embed="rId6"/>
            <a:srcRect/>
            <a:stretch>
              <a:fillRect/>
            </a:stretch>
          </xdr:blipFill>
          <xdr:spPr bwMode="auto">
            <a:xfrm>
              <a:off x="1036320" y="1706880"/>
              <a:ext cx="4747260" cy="517931"/>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4</xdr:col>
      <xdr:colOff>205740</xdr:colOff>
      <xdr:row>4</xdr:row>
      <xdr:rowOff>45720</xdr:rowOff>
    </xdr:from>
    <xdr:to>
      <xdr:col>6</xdr:col>
      <xdr:colOff>516540</xdr:colOff>
      <xdr:row>9</xdr:row>
      <xdr:rowOff>30480</xdr:rowOff>
    </xdr:to>
    <xdr:graphicFrame macro="">
      <xdr:nvGraphicFramePr>
        <xdr:cNvPr id="39" name="Chart 38">
          <a:extLst>
            <a:ext uri="{FF2B5EF4-FFF2-40B4-BE49-F238E27FC236}">
              <a16:creationId xmlns:a16="http://schemas.microsoft.com/office/drawing/2014/main" id="{C514CF32-E678-47D9-A768-D1B905CF1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571500</xdr:colOff>
      <xdr:row>4</xdr:row>
      <xdr:rowOff>38101</xdr:rowOff>
    </xdr:from>
    <xdr:to>
      <xdr:col>9</xdr:col>
      <xdr:colOff>272700</xdr:colOff>
      <xdr:row>9</xdr:row>
      <xdr:rowOff>22861</xdr:rowOff>
    </xdr:to>
    <xdr:graphicFrame macro="">
      <xdr:nvGraphicFramePr>
        <xdr:cNvPr id="40" name="Chart 39">
          <a:extLst>
            <a:ext uri="{FF2B5EF4-FFF2-40B4-BE49-F238E27FC236}">
              <a16:creationId xmlns:a16="http://schemas.microsoft.com/office/drawing/2014/main" id="{788E1DFD-EC6C-4737-A824-0BB87EA8B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6</xdr:col>
      <xdr:colOff>563880</xdr:colOff>
      <xdr:row>6</xdr:row>
      <xdr:rowOff>15240</xdr:rowOff>
    </xdr:from>
    <xdr:to>
      <xdr:col>9</xdr:col>
      <xdr:colOff>289560</xdr:colOff>
      <xdr:row>7</xdr:row>
      <xdr:rowOff>0</xdr:rowOff>
    </xdr:to>
    <xdr:sp macro="" textlink="">
      <xdr:nvSpPr>
        <xdr:cNvPr id="41" name="TextBox 40">
          <a:extLst>
            <a:ext uri="{FF2B5EF4-FFF2-40B4-BE49-F238E27FC236}">
              <a16:creationId xmlns:a16="http://schemas.microsoft.com/office/drawing/2014/main" id="{5F2F6A8A-F267-4A87-9546-C63098F76BDF}"/>
            </a:ext>
          </a:extLst>
        </xdr:cNvPr>
        <xdr:cNvSpPr txBox="1"/>
      </xdr:nvSpPr>
      <xdr:spPr>
        <a:xfrm>
          <a:off x="4221480" y="1112520"/>
          <a:ext cx="155448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t>Patient</a:t>
          </a:r>
          <a:r>
            <a:rPr lang="en-IN" sz="1000" baseline="0"/>
            <a:t> Satisfaction Score</a:t>
          </a:r>
          <a:endParaRPr lang="en-IN" sz="1000"/>
        </a:p>
      </xdr:txBody>
    </xdr:sp>
    <xdr:clientData/>
  </xdr:twoCellAnchor>
  <xdr:twoCellAnchor>
    <xdr:from>
      <xdr:col>1</xdr:col>
      <xdr:colOff>426720</xdr:colOff>
      <xdr:row>4</xdr:row>
      <xdr:rowOff>45720</xdr:rowOff>
    </xdr:from>
    <xdr:to>
      <xdr:col>4</xdr:col>
      <xdr:colOff>152400</xdr:colOff>
      <xdr:row>9</xdr:row>
      <xdr:rowOff>30480</xdr:rowOff>
    </xdr:to>
    <xdr:grpSp>
      <xdr:nvGrpSpPr>
        <xdr:cNvPr id="47" name="Group 46">
          <a:extLst>
            <a:ext uri="{FF2B5EF4-FFF2-40B4-BE49-F238E27FC236}">
              <a16:creationId xmlns:a16="http://schemas.microsoft.com/office/drawing/2014/main" id="{1D142877-D7B1-C7FB-18D3-56706C40D717}"/>
            </a:ext>
          </a:extLst>
        </xdr:cNvPr>
        <xdr:cNvGrpSpPr/>
      </xdr:nvGrpSpPr>
      <xdr:grpSpPr>
        <a:xfrm>
          <a:off x="1036320" y="777240"/>
          <a:ext cx="1554480" cy="899160"/>
          <a:chOff x="1036320" y="777240"/>
          <a:chExt cx="1554480" cy="899160"/>
        </a:xfrm>
      </xdr:grpSpPr>
      <xdr:graphicFrame macro="">
        <xdr:nvGraphicFramePr>
          <xdr:cNvPr id="37" name="Chart 36">
            <a:extLst>
              <a:ext uri="{FF2B5EF4-FFF2-40B4-BE49-F238E27FC236}">
                <a16:creationId xmlns:a16="http://schemas.microsoft.com/office/drawing/2014/main" id="{8383011E-9386-4A81-97AF-DF510F628EF6}"/>
              </a:ext>
            </a:extLst>
          </xdr:cNvPr>
          <xdr:cNvGraphicFramePr>
            <a:graphicFrameLocks/>
          </xdr:cNvGraphicFramePr>
        </xdr:nvGraphicFramePr>
        <xdr:xfrm>
          <a:off x="1043940" y="777240"/>
          <a:ext cx="1530000" cy="89916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38" name="TextBox 37">
            <a:hlinkClick xmlns:r="http://schemas.openxmlformats.org/officeDocument/2006/relationships" r:id="rId10"/>
            <a:extLst>
              <a:ext uri="{FF2B5EF4-FFF2-40B4-BE49-F238E27FC236}">
                <a16:creationId xmlns:a16="http://schemas.microsoft.com/office/drawing/2014/main" id="{63F2D73A-9330-4BC1-8948-58014CBBAC59}"/>
              </a:ext>
            </a:extLst>
          </xdr:cNvPr>
          <xdr:cNvSpPr txBox="1"/>
        </xdr:nvSpPr>
        <xdr:spPr>
          <a:xfrm>
            <a:off x="1036320" y="1165860"/>
            <a:ext cx="155448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t>Monthly</a:t>
            </a:r>
            <a:r>
              <a:rPr lang="en-IN" sz="1000" baseline="0"/>
              <a:t> Report </a:t>
            </a:r>
            <a:endParaRPr lang="en-IN" sz="1000"/>
          </a:p>
        </xdr:txBody>
      </xdr:sp>
      <xdr:sp macro="" textlink="'[1]Pivot Report '!A4">
        <xdr:nvSpPr>
          <xdr:cNvPr id="44" name="TextBox 43">
            <a:hlinkClick xmlns:r="http://schemas.openxmlformats.org/officeDocument/2006/relationships" r:id="rId10"/>
            <a:extLst>
              <a:ext uri="{FF2B5EF4-FFF2-40B4-BE49-F238E27FC236}">
                <a16:creationId xmlns:a16="http://schemas.microsoft.com/office/drawing/2014/main" id="{662CAE11-E905-43A4-9A2C-4B63736BF9DE}"/>
              </a:ext>
            </a:extLst>
          </xdr:cNvPr>
          <xdr:cNvSpPr txBox="1"/>
        </xdr:nvSpPr>
        <xdr:spPr>
          <a:xfrm>
            <a:off x="1059180" y="883920"/>
            <a:ext cx="1516380" cy="182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5333B38-C5FB-4BEF-81AD-3E8128429E3B}" type="TxLink">
              <a:rPr lang="en-US" sz="1100" b="0" i="0" u="none" strike="noStrike">
                <a:solidFill>
                  <a:srgbClr val="000000"/>
                </a:solidFill>
                <a:latin typeface="Calibri"/>
                <a:ea typeface="Calibri"/>
                <a:cs typeface="Calibri"/>
              </a:rPr>
              <a:pPr algn="ctr"/>
              <a:t>431</a:t>
            </a:fld>
            <a:endParaRPr lang="en-US"/>
          </a:p>
        </xdr:txBody>
      </xdr:sp>
    </xdr:grpSp>
    <xdr:clientData/>
  </xdr:twoCellAnchor>
  <xdr:twoCellAnchor editAs="absolute">
    <xdr:from>
      <xdr:col>4</xdr:col>
      <xdr:colOff>213360</xdr:colOff>
      <xdr:row>4</xdr:row>
      <xdr:rowOff>160020</xdr:rowOff>
    </xdr:from>
    <xdr:to>
      <xdr:col>6</xdr:col>
      <xdr:colOff>510540</xdr:colOff>
      <xdr:row>5</xdr:row>
      <xdr:rowOff>160019</xdr:rowOff>
    </xdr:to>
    <xdr:sp macro="" textlink="'[1]Pivot Report '!A7">
      <xdr:nvSpPr>
        <xdr:cNvPr id="45" name="TextBox 44">
          <a:hlinkClick xmlns:r="http://schemas.openxmlformats.org/officeDocument/2006/relationships" r:id="rId10"/>
          <a:extLst>
            <a:ext uri="{FF2B5EF4-FFF2-40B4-BE49-F238E27FC236}">
              <a16:creationId xmlns:a16="http://schemas.microsoft.com/office/drawing/2014/main" id="{2D52D1F9-39B1-4674-998C-C55E4F39EE2C}"/>
            </a:ext>
          </a:extLst>
        </xdr:cNvPr>
        <xdr:cNvSpPr txBox="1"/>
      </xdr:nvSpPr>
      <xdr:spPr>
        <a:xfrm>
          <a:off x="2651760" y="891540"/>
          <a:ext cx="1516380" cy="182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8A29487-C356-476E-B553-EA77689BCA1B}" type="TxLink">
            <a:rPr lang="en-US" sz="1100" b="0" i="0" u="none" strike="noStrike">
              <a:solidFill>
                <a:srgbClr val="000000"/>
              </a:solidFill>
              <a:latin typeface="Calibri"/>
              <a:ea typeface="Calibri"/>
              <a:cs typeface="Calibri"/>
            </a:rPr>
            <a:t>36.67</a:t>
          </a:fld>
          <a:endParaRPr lang="en-US"/>
        </a:p>
      </xdr:txBody>
    </xdr:sp>
    <xdr:clientData/>
  </xdr:twoCellAnchor>
  <xdr:twoCellAnchor editAs="absolute">
    <xdr:from>
      <xdr:col>6</xdr:col>
      <xdr:colOff>586740</xdr:colOff>
      <xdr:row>4</xdr:row>
      <xdr:rowOff>137160</xdr:rowOff>
    </xdr:from>
    <xdr:to>
      <xdr:col>9</xdr:col>
      <xdr:colOff>274320</xdr:colOff>
      <xdr:row>5</xdr:row>
      <xdr:rowOff>137159</xdr:rowOff>
    </xdr:to>
    <xdr:sp macro="" textlink="'[1]Pivot Report '!A11">
      <xdr:nvSpPr>
        <xdr:cNvPr id="46" name="TextBox 45">
          <a:hlinkClick xmlns:r="http://schemas.openxmlformats.org/officeDocument/2006/relationships" r:id="rId10"/>
          <a:extLst>
            <a:ext uri="{FF2B5EF4-FFF2-40B4-BE49-F238E27FC236}">
              <a16:creationId xmlns:a16="http://schemas.microsoft.com/office/drawing/2014/main" id="{083A8F61-D8A7-4506-A3E1-7E8A5545097C}"/>
            </a:ext>
          </a:extLst>
        </xdr:cNvPr>
        <xdr:cNvSpPr txBox="1"/>
      </xdr:nvSpPr>
      <xdr:spPr>
        <a:xfrm>
          <a:off x="4244340" y="868680"/>
          <a:ext cx="1516380" cy="182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E15271D-83C9-4018-8EDE-59EA95133CEC}" type="TxLink">
            <a:rPr lang="en-US" sz="1100" b="0" i="0" u="none" strike="noStrike">
              <a:solidFill>
                <a:srgbClr val="000000"/>
              </a:solidFill>
              <a:latin typeface="Calibri"/>
              <a:ea typeface="Calibri"/>
              <a:cs typeface="Calibri"/>
            </a:rPr>
            <a:t>4.72</a:t>
          </a:fld>
          <a:endParaRPr lang="en-US"/>
        </a:p>
      </xdr:txBody>
    </xdr:sp>
    <xdr:clientData/>
  </xdr:twoCellAnchor>
  <xdr:twoCellAnchor editAs="oneCell">
    <xdr:from>
      <xdr:col>3</xdr:col>
      <xdr:colOff>475333</xdr:colOff>
      <xdr:row>4</xdr:row>
      <xdr:rowOff>144889</xdr:rowOff>
    </xdr:from>
    <xdr:to>
      <xdr:col>4</xdr:col>
      <xdr:colOff>83892</xdr:colOff>
      <xdr:row>5</xdr:row>
      <xdr:rowOff>177397</xdr:rowOff>
    </xdr:to>
    <xdr:pic>
      <xdr:nvPicPr>
        <xdr:cNvPr id="48" name="Graphic 47" descr="Male profile with solid fill">
          <a:hlinkClick xmlns:r="http://schemas.openxmlformats.org/officeDocument/2006/relationships" r:id="rId10"/>
          <a:extLst>
            <a:ext uri="{FF2B5EF4-FFF2-40B4-BE49-F238E27FC236}">
              <a16:creationId xmlns:a16="http://schemas.microsoft.com/office/drawing/2014/main" id="{3E948972-9425-47FE-A653-AC49DB48371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304133" y="876409"/>
          <a:ext cx="218159" cy="215388"/>
        </a:xfrm>
        <a:prstGeom prst="rect">
          <a:avLst/>
        </a:prstGeom>
      </xdr:spPr>
    </xdr:pic>
    <xdr:clientData/>
  </xdr:twoCellAnchor>
  <xdr:twoCellAnchor editAs="oneCell">
    <xdr:from>
      <xdr:col>8</xdr:col>
      <xdr:colOff>566773</xdr:colOff>
      <xdr:row>4</xdr:row>
      <xdr:rowOff>76309</xdr:rowOff>
    </xdr:from>
    <xdr:to>
      <xdr:col>9</xdr:col>
      <xdr:colOff>240203</xdr:colOff>
      <xdr:row>5</xdr:row>
      <xdr:rowOff>173688</xdr:rowOff>
    </xdr:to>
    <xdr:pic>
      <xdr:nvPicPr>
        <xdr:cNvPr id="49" name="Graphic 48" descr="Boardroom with solid fill">
          <a:extLst>
            <a:ext uri="{FF2B5EF4-FFF2-40B4-BE49-F238E27FC236}">
              <a16:creationId xmlns:a16="http://schemas.microsoft.com/office/drawing/2014/main" id="{BEFD3081-4364-464E-A340-C91C5BC68F0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443573" y="807829"/>
          <a:ext cx="283030" cy="280259"/>
        </a:xfrm>
        <a:prstGeom prst="rect">
          <a:avLst/>
        </a:prstGeom>
      </xdr:spPr>
    </xdr:pic>
    <xdr:clientData/>
  </xdr:twoCellAnchor>
  <xdr:twoCellAnchor editAs="oneCell">
    <xdr:from>
      <xdr:col>6</xdr:col>
      <xdr:colOff>320040</xdr:colOff>
      <xdr:row>4</xdr:row>
      <xdr:rowOff>152400</xdr:rowOff>
    </xdr:from>
    <xdr:to>
      <xdr:col>6</xdr:col>
      <xdr:colOff>529492</xdr:colOff>
      <xdr:row>5</xdr:row>
      <xdr:rowOff>176201</xdr:rowOff>
    </xdr:to>
    <xdr:pic>
      <xdr:nvPicPr>
        <xdr:cNvPr id="50" name="Graphic 49" descr="Hourglass Finished with solid fill">
          <a:hlinkClick xmlns:r="http://schemas.openxmlformats.org/officeDocument/2006/relationships" r:id="rId15"/>
          <a:extLst>
            <a:ext uri="{FF2B5EF4-FFF2-40B4-BE49-F238E27FC236}">
              <a16:creationId xmlns:a16="http://schemas.microsoft.com/office/drawing/2014/main" id="{49232085-3741-443F-8068-0179C92BEF5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977640" y="883920"/>
          <a:ext cx="209452" cy="206681"/>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0.12245</cdr:x>
      <cdr:y>0.11765</cdr:y>
    </cdr:from>
    <cdr:to>
      <cdr:x>0.61224</cdr:x>
      <cdr:y>1</cdr:y>
    </cdr:to>
    <cdr:sp macro="" textlink="">
      <cdr:nvSpPr>
        <cdr:cNvPr id="2" name="TextBox 1">
          <a:extLst xmlns:a="http://schemas.openxmlformats.org/drawingml/2006/main">
            <a:ext uri="{FF2B5EF4-FFF2-40B4-BE49-F238E27FC236}">
              <a16:creationId xmlns:a16="http://schemas.microsoft.com/office/drawing/2014/main" id="{26C61F4E-6B8B-6745-C52C-72B50AD8D5F0}"/>
            </a:ext>
          </a:extLst>
        </cdr:cNvPr>
        <cdr:cNvSpPr txBox="1"/>
      </cdr:nvSpPr>
      <cdr:spPr>
        <a:xfrm xmlns:a="http://schemas.openxmlformats.org/drawingml/2006/main">
          <a:off x="228600" y="90678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cdr:x>
      <cdr:y>0.82353</cdr:y>
    </cdr:from>
    <cdr:to>
      <cdr:x>1</cdr:x>
      <cdr:y>1</cdr:y>
    </cdr:to>
    <cdr:sp macro="" textlink="">
      <cdr:nvSpPr>
        <cdr:cNvPr id="3" name="TextBox 2">
          <a:extLst xmlns:a="http://schemas.openxmlformats.org/drawingml/2006/main">
            <a:ext uri="{FF2B5EF4-FFF2-40B4-BE49-F238E27FC236}">
              <a16:creationId xmlns:a16="http://schemas.microsoft.com/office/drawing/2014/main" id="{7861C571-47E2-D73D-94F5-682BE27771BA}"/>
            </a:ext>
          </a:extLst>
        </cdr:cNvPr>
        <cdr:cNvSpPr txBox="1"/>
      </cdr:nvSpPr>
      <cdr:spPr>
        <a:xfrm xmlns:a="http://schemas.openxmlformats.org/drawingml/2006/main">
          <a:off x="0" y="853440"/>
          <a:ext cx="1866900" cy="1828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cdr:x>
      <cdr:y>0.80882</cdr:y>
    </cdr:from>
    <cdr:to>
      <cdr:x>1</cdr:x>
      <cdr:y>1</cdr:y>
    </cdr:to>
    <cdr:sp macro="" textlink="">
      <cdr:nvSpPr>
        <cdr:cNvPr id="4" name="TextBox 3">
          <a:extLst xmlns:a="http://schemas.openxmlformats.org/drawingml/2006/main">
            <a:ext uri="{FF2B5EF4-FFF2-40B4-BE49-F238E27FC236}">
              <a16:creationId xmlns:a16="http://schemas.microsoft.com/office/drawing/2014/main" id="{08A94419-097B-4882-96D2-03DFF0670385}"/>
            </a:ext>
          </a:extLst>
        </cdr:cNvPr>
        <cdr:cNvSpPr txBox="1"/>
      </cdr:nvSpPr>
      <cdr:spPr>
        <a:xfrm xmlns:a="http://schemas.openxmlformats.org/drawingml/2006/main">
          <a:off x="0" y="838200"/>
          <a:ext cx="1866900" cy="198120"/>
        </a:xfrm>
        <a:prstGeom xmlns:a="http://schemas.openxmlformats.org/drawingml/2006/main" prst="rect">
          <a:avLst/>
        </a:prstGeom>
        <a:ln xmlns:a="http://schemas.openxmlformats.org/drawingml/2006/main">
          <a:noFill/>
        </a:ln>
      </cdr:spPr>
      <cdr:txBody>
        <a:bodyPr xmlns:a="http://schemas.openxmlformats.org/drawingml/2006/main" vertOverflow="clip" wrap="none" rtlCol="0"/>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bg2">
                  <a:lumMod val="50000"/>
                </a:schemeClr>
              </a:solidFill>
              <a:effectLst/>
              <a:latin typeface="+mn-lt"/>
              <a:ea typeface="+mn-ea"/>
              <a:cs typeface="+mn-cs"/>
            </a:rPr>
            <a:t>Patient Attend Status</a:t>
          </a:r>
          <a:endParaRPr lang="en-IN">
            <a:solidFill>
              <a:schemeClr val="bg2">
                <a:lumMod val="50000"/>
              </a:schemeClr>
            </a:solidFill>
            <a:effectLst/>
          </a:endParaRPr>
        </a:p>
        <a:p xmlns:a="http://schemas.openxmlformats.org/drawingml/2006/main">
          <a:endParaRPr lang="en-IN"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0.00405</cdr:x>
      <cdr:y>0.76359</cdr:y>
    </cdr:from>
    <cdr:to>
      <cdr:x>0.99595</cdr:x>
      <cdr:y>0.94799</cdr:y>
    </cdr:to>
    <cdr:sp macro="" textlink="">
      <cdr:nvSpPr>
        <cdr:cNvPr id="2" name="TextBox 1">
          <a:extLst xmlns:a="http://schemas.openxmlformats.org/drawingml/2006/main">
            <a:ext uri="{FF2B5EF4-FFF2-40B4-BE49-F238E27FC236}">
              <a16:creationId xmlns:a16="http://schemas.microsoft.com/office/drawing/2014/main" id="{F8DD53E1-1AA1-1CD8-6E9D-68282F1B42BD}"/>
            </a:ext>
          </a:extLst>
        </cdr:cNvPr>
        <cdr:cNvSpPr txBox="1"/>
      </cdr:nvSpPr>
      <cdr:spPr>
        <a:xfrm xmlns:a="http://schemas.openxmlformats.org/drawingml/2006/main">
          <a:off x="7620" y="820420"/>
          <a:ext cx="1866900" cy="198120"/>
        </a:xfrm>
        <a:prstGeom xmlns:a="http://schemas.openxmlformats.org/drawingml/2006/main" prst="rect">
          <a:avLst/>
        </a:prstGeom>
        <a:ln xmlns:a="http://schemas.openxmlformats.org/drawingml/2006/main">
          <a:noFill/>
        </a:l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IN" sz="1100">
              <a:solidFill>
                <a:schemeClr val="bg2">
                  <a:lumMod val="50000"/>
                </a:schemeClr>
              </a:solidFill>
              <a:effectLst/>
              <a:latin typeface="+mn-lt"/>
              <a:ea typeface="+mn-ea"/>
              <a:cs typeface="+mn-cs"/>
            </a:rPr>
            <a:t>Gender wise Analysis</a:t>
          </a:r>
          <a:endParaRPr lang="en-IN">
            <a:solidFill>
              <a:schemeClr val="bg2">
                <a:lumMod val="50000"/>
              </a:schemeClr>
            </a:solidFill>
            <a:effectLst/>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cdr:x>
      <cdr:y>0.9068</cdr:y>
    </cdr:from>
    <cdr:to>
      <cdr:x>1</cdr:x>
      <cdr:y>0.99875</cdr:y>
    </cdr:to>
    <cdr:sp macro="" textlink="">
      <cdr:nvSpPr>
        <cdr:cNvPr id="2" name="TextBox 1">
          <a:extLst xmlns:a="http://schemas.openxmlformats.org/drawingml/2006/main">
            <a:ext uri="{FF2B5EF4-FFF2-40B4-BE49-F238E27FC236}">
              <a16:creationId xmlns:a16="http://schemas.microsoft.com/office/drawing/2014/main" id="{D9534781-6001-DA74-8B80-4AC18414F44F}"/>
            </a:ext>
          </a:extLst>
        </cdr:cNvPr>
        <cdr:cNvSpPr txBox="1"/>
      </cdr:nvSpPr>
      <cdr:spPr>
        <a:xfrm xmlns:a="http://schemas.openxmlformats.org/drawingml/2006/main">
          <a:off x="0" y="1925320"/>
          <a:ext cx="3771900" cy="195245"/>
        </a:xfrm>
        <a:prstGeom xmlns:a="http://schemas.openxmlformats.org/drawingml/2006/main" prst="rect">
          <a:avLst/>
        </a:prstGeom>
        <a:ln xmlns:a="http://schemas.openxmlformats.org/drawingml/2006/main">
          <a:noFill/>
        </a:l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900">
              <a:solidFill>
                <a:schemeClr val="bg2">
                  <a:lumMod val="50000"/>
                </a:schemeClr>
              </a:solidFill>
              <a:effectLst/>
              <a:latin typeface="+mn-lt"/>
              <a:ea typeface="+mn-ea"/>
              <a:cs typeface="+mn-cs"/>
            </a:rPr>
            <a:t>No. of Patient by Department Referal</a:t>
          </a:r>
        </a:p>
        <a:p xmlns:a="http://schemas.openxmlformats.org/drawingml/2006/main">
          <a:endParaRPr lang="en-IN" sz="1100" kern="1200"/>
        </a:p>
      </cdr:txBody>
    </cdr:sp>
  </cdr:relSizeAnchor>
</c:userShapes>
</file>

<file path=xl/drawings/drawing6.xml><?xml version="1.0" encoding="utf-8"?>
<c:userShapes xmlns:c="http://schemas.openxmlformats.org/drawingml/2006/chart">
  <cdr:relSizeAnchor xmlns:cdr="http://schemas.openxmlformats.org/drawingml/2006/chartDrawing">
    <cdr:from>
      <cdr:x>0</cdr:x>
      <cdr:y>0.78966</cdr:y>
    </cdr:from>
    <cdr:to>
      <cdr:x>1</cdr:x>
      <cdr:y>0.90508</cdr:y>
    </cdr:to>
    <cdr:sp macro="" textlink="">
      <cdr:nvSpPr>
        <cdr:cNvPr id="2" name="TextBox 1">
          <a:extLst xmlns:a="http://schemas.openxmlformats.org/drawingml/2006/main">
            <a:ext uri="{FF2B5EF4-FFF2-40B4-BE49-F238E27FC236}">
              <a16:creationId xmlns:a16="http://schemas.microsoft.com/office/drawing/2014/main" id="{B2783C39-DE32-F69D-29B6-E756B61E0F22}"/>
            </a:ext>
          </a:extLst>
        </cdr:cNvPr>
        <cdr:cNvSpPr txBox="1"/>
      </cdr:nvSpPr>
      <cdr:spPr>
        <a:xfrm xmlns:a="http://schemas.openxmlformats.org/drawingml/2006/main">
          <a:off x="0" y="980802"/>
          <a:ext cx="4732020" cy="143360"/>
        </a:xfrm>
        <a:prstGeom xmlns:a="http://schemas.openxmlformats.org/drawingml/2006/main" prst="rect">
          <a:avLst/>
        </a:prstGeom>
        <a:ln xmlns:a="http://schemas.openxmlformats.org/drawingml/2006/main">
          <a:noFill/>
        </a:ln>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bg2">
                  <a:lumMod val="50000"/>
                </a:schemeClr>
              </a:solidFill>
              <a:effectLst/>
              <a:latin typeface="+mn-lt"/>
              <a:ea typeface="+mn-ea"/>
              <a:cs typeface="+mn-cs"/>
            </a:rPr>
            <a:t>No. of Patient by Age Group</a:t>
          </a:r>
        </a:p>
        <a:p xmlns:a="http://schemas.openxmlformats.org/drawingml/2006/main">
          <a:endParaRPr lang="en-IN" sz="1100" kern="1200"/>
        </a:p>
      </cdr:txBody>
    </cdr:sp>
  </cdr:relSizeAnchor>
</c:userShapes>
</file>

<file path=xl/drawings/drawing7.xml><?xml version="1.0" encoding="utf-8"?>
<c:userShapes xmlns:c="http://schemas.openxmlformats.org/drawingml/2006/chart">
  <cdr:relSizeAnchor xmlns:cdr="http://schemas.openxmlformats.org/drawingml/2006/chartDrawing">
    <cdr:from>
      <cdr:x>0.01185</cdr:x>
      <cdr:y>0.38995</cdr:y>
    </cdr:from>
    <cdr:to>
      <cdr:x>1</cdr:x>
      <cdr:y>0.59793</cdr:y>
    </cdr:to>
    <cdr:sp macro="" textlink="">
      <cdr:nvSpPr>
        <cdr:cNvPr id="4" name="TextBox 28">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3E39A3A-976A-D2C7-DFE7-72C014F75C67}"/>
            </a:ext>
          </a:extLst>
        </cdr:cNvPr>
        <cdr:cNvSpPr txBox="1"/>
      </cdr:nvSpPr>
      <cdr:spPr>
        <a:xfrm xmlns:a="http://schemas.openxmlformats.org/drawingml/2006/main">
          <a:off x="18133" y="350629"/>
          <a:ext cx="1511867" cy="18700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000"/>
            <a:t>Average</a:t>
          </a:r>
          <a:r>
            <a:rPr lang="en-IN" sz="1000" baseline="0"/>
            <a:t> wait time</a:t>
          </a:r>
          <a:endParaRPr lang="en-IN" sz="1000"/>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320040</xdr:colOff>
      <xdr:row>24</xdr:row>
      <xdr:rowOff>76200</xdr:rowOff>
    </xdr:to>
    <xdr:graphicFrame macro="">
      <xdr:nvGraphicFramePr>
        <xdr:cNvPr id="2" name="Chart 1">
          <a:extLst>
            <a:ext uri="{FF2B5EF4-FFF2-40B4-BE49-F238E27FC236}">
              <a16:creationId xmlns:a16="http://schemas.microsoft.com/office/drawing/2014/main" id="{AACF2C02-5C44-4BED-8881-690709FB7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91440</xdr:rowOff>
    </xdr:from>
    <xdr:to>
      <xdr:col>15</xdr:col>
      <xdr:colOff>312420</xdr:colOff>
      <xdr:row>26</xdr:row>
      <xdr:rowOff>114300</xdr:rowOff>
    </xdr:to>
    <xdr:sp macro="" textlink="">
      <xdr:nvSpPr>
        <xdr:cNvPr id="3" name="TextBox 2">
          <a:hlinkClick xmlns:r="http://schemas.openxmlformats.org/officeDocument/2006/relationships" r:id="rId2"/>
          <a:extLst>
            <a:ext uri="{FF2B5EF4-FFF2-40B4-BE49-F238E27FC236}">
              <a16:creationId xmlns:a16="http://schemas.microsoft.com/office/drawing/2014/main" id="{104ECDA8-D244-F697-BE89-7A2058618B01}"/>
            </a:ext>
          </a:extLst>
        </xdr:cNvPr>
        <xdr:cNvSpPr txBox="1"/>
      </xdr:nvSpPr>
      <xdr:spPr>
        <a:xfrm>
          <a:off x="0" y="4480560"/>
          <a:ext cx="9456420" cy="388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600" b="0" i="0">
              <a:solidFill>
                <a:schemeClr val="dk1"/>
              </a:solidFill>
              <a:effectLst/>
              <a:latin typeface="+mn-lt"/>
              <a:ea typeface="+mn-ea"/>
              <a:cs typeface="+mn-cs"/>
            </a:rPr>
            <a:t>Use an area sparkline to show trends, spot drops in satisfaction, and link them to busy times or challenges.</a:t>
          </a:r>
          <a:endParaRPr lang="en-IN" sz="1600">
            <a:effectLst/>
          </a:endParaRPr>
        </a:p>
        <a:p>
          <a:br>
            <a:rPr lang="en-IN" sz="1600">
              <a:solidFill>
                <a:schemeClr val="dk1"/>
              </a:solidFill>
              <a:effectLst/>
              <a:latin typeface="+mn-lt"/>
              <a:ea typeface="+mn-ea"/>
              <a:cs typeface="+mn-cs"/>
            </a:rPr>
          </a:br>
          <a:endParaRPr lang="en-IN" sz="1600">
            <a:effectLst/>
          </a:endParaRPr>
        </a:p>
        <a:p>
          <a:endParaRPr lang="en-IN" sz="1600"/>
        </a:p>
      </xdr:txBody>
    </xdr:sp>
    <xdr:clientData/>
  </xdr:twoCellAnchor>
</xdr:wsDr>
</file>

<file path=xl/drawings/drawing9.xml><?xml version="1.0" encoding="utf-8"?>
<c:userShapes xmlns:c="http://schemas.openxmlformats.org/drawingml/2006/chart">
  <cdr:relSizeAnchor xmlns:cdr="http://schemas.openxmlformats.org/drawingml/2006/chartDrawing">
    <cdr:from>
      <cdr:x>0.00537</cdr:x>
      <cdr:y>0.01138</cdr:y>
    </cdr:from>
    <cdr:to>
      <cdr:x>0.06736</cdr:x>
      <cdr:y>0.13083</cdr:y>
    </cdr:to>
    <cdr:pic>
      <cdr:nvPicPr>
        <cdr:cNvPr id="3"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B064E1B-4D1C-B2E3-E4E4-240685AB934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86709" cy="533387"/>
        </a:xfrm>
        <a:prstGeom xmlns:a="http://schemas.openxmlformats.org/drawingml/2006/main" prst="rect">
          <a:avLst/>
        </a:prstGeom>
      </cdr:spPr>
    </cdr:pic>
  </cdr:relSizeAnchor>
</c:userShapes>
</file>

<file path=xl/drawings/drawing10.xml><?xml version="1.0" encoding="utf-8"?>
<xdr:wsDr xmlns:xdr="http://schemas.openxmlformats.org/drawingml/2006/spreadsheetDrawing" xmlns:a="http://schemas.openxmlformats.org/drawingml/2006/main">
  <xdr:twoCellAnchor>
    <xdr:from>
      <xdr:col>0</xdr:col>
      <xdr:colOff>45720</xdr:colOff>
      <xdr:row>0</xdr:row>
      <xdr:rowOff>60960</xdr:rowOff>
    </xdr:from>
    <xdr:to>
      <xdr:col>18</xdr:col>
      <xdr:colOff>83820</xdr:colOff>
      <xdr:row>26</xdr:row>
      <xdr:rowOff>60960</xdr:rowOff>
    </xdr:to>
    <xdr:graphicFrame macro="">
      <xdr:nvGraphicFramePr>
        <xdr:cNvPr id="2" name="Chart 1">
          <a:extLst>
            <a:ext uri="{FF2B5EF4-FFF2-40B4-BE49-F238E27FC236}">
              <a16:creationId xmlns:a16="http://schemas.microsoft.com/office/drawing/2014/main" id="{F209C133-C2F2-4E73-96E0-2EA84371B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0.23783</cdr:x>
      <cdr:y>0.02244</cdr:y>
    </cdr:from>
    <cdr:to>
      <cdr:x>0.28166</cdr:x>
      <cdr:y>0.13578</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B064E1B-4D1C-B2E3-E4E4-240685AB934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618741" y="106680"/>
          <a:ext cx="482600" cy="538924"/>
        </a:xfrm>
        <a:prstGeom xmlns:a="http://schemas.openxmlformats.org/drawingml/2006/main" prst="rect">
          <a:avLst/>
        </a:prstGeom>
      </cdr:spPr>
    </cdr:pic>
  </cdr:relSizeAnchor>
  <cdr:relSizeAnchor xmlns:cdr="http://schemas.openxmlformats.org/drawingml/2006/chartDrawing">
    <cdr:from>
      <cdr:x>0.11972</cdr:x>
      <cdr:y>0.92788</cdr:y>
    </cdr:from>
    <cdr:to>
      <cdr:x>0.809</cdr:x>
      <cdr:y>1</cdr:y>
    </cdr:to>
    <cdr:sp macro="" textlink="">
      <cdr:nvSpPr>
        <cdr:cNvPr id="3" name="TextBox 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7A41A5B-4160-053D-E4A2-D1E7ABD7FFDA}"/>
            </a:ext>
          </a:extLst>
        </cdr:cNvPr>
        <cdr:cNvSpPr txBox="1"/>
      </cdr:nvSpPr>
      <cdr:spPr>
        <a:xfrm xmlns:a="http://schemas.openxmlformats.org/drawingml/2006/main">
          <a:off x="1318260" y="4411980"/>
          <a:ext cx="7589520" cy="3429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IN" sz="1500" b="1" i="0">
              <a:solidFill>
                <a:schemeClr val="bg1"/>
              </a:solidFill>
              <a:effectLst/>
              <a:latin typeface="+mn-lt"/>
              <a:ea typeface="+mn-ea"/>
              <a:cs typeface="+mn-cs"/>
            </a:rPr>
            <a:t>Use an area sparkline to track daily changes and highlight days with longer wait times that might need improvements.</a:t>
          </a:r>
          <a:endParaRPr lang="en-IN" sz="1500" b="1">
            <a:solidFill>
              <a:schemeClr val="bg1"/>
            </a:solidFill>
            <a:effectLst/>
          </a:endParaRPr>
        </a:p>
        <a:p xmlns:a="http://schemas.openxmlformats.org/drawingml/2006/main">
          <a:endParaRPr lang="en-IN" sz="1500" b="1" kern="1200">
            <a:solidFill>
              <a:schemeClr val="bg1"/>
            </a:solidFill>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228600</xdr:colOff>
      <xdr:row>21</xdr:row>
      <xdr:rowOff>38100</xdr:rowOff>
    </xdr:to>
    <xdr:graphicFrame macro="">
      <xdr:nvGraphicFramePr>
        <xdr:cNvPr id="2" name="Chart 1">
          <a:extLst>
            <a:ext uri="{FF2B5EF4-FFF2-40B4-BE49-F238E27FC236}">
              <a16:creationId xmlns:a16="http://schemas.microsoft.com/office/drawing/2014/main" id="{27BA48E4-2EE4-4301-A064-5B464B3B6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259080</xdr:colOff>
      <xdr:row>22</xdr:row>
      <xdr:rowOff>30480</xdr:rowOff>
    </xdr:from>
    <xdr:ext cx="184731" cy="264560"/>
    <xdr:sp macro="" textlink="">
      <xdr:nvSpPr>
        <xdr:cNvPr id="3" name="TextBox 2">
          <a:extLst>
            <a:ext uri="{FF2B5EF4-FFF2-40B4-BE49-F238E27FC236}">
              <a16:creationId xmlns:a16="http://schemas.microsoft.com/office/drawing/2014/main" id="{749FF31F-028F-A623-73A4-74A4A80DA6FC}"/>
            </a:ext>
          </a:extLst>
        </xdr:cNvPr>
        <xdr:cNvSpPr txBox="1"/>
      </xdr:nvSpPr>
      <xdr:spPr>
        <a:xfrm>
          <a:off x="868680" y="4053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0</xdr:col>
      <xdr:colOff>15240</xdr:colOff>
      <xdr:row>21</xdr:row>
      <xdr:rowOff>83820</xdr:rowOff>
    </xdr:from>
    <xdr:to>
      <xdr:col>16</xdr:col>
      <xdr:colOff>274320</xdr:colOff>
      <xdr:row>23</xdr:row>
      <xdr:rowOff>108280</xdr:rowOff>
    </xdr:to>
    <xdr:pic>
      <xdr:nvPicPr>
        <xdr:cNvPr id="5" name="Picture 4">
          <a:hlinkClick xmlns:r="http://schemas.openxmlformats.org/officeDocument/2006/relationships" r:id="rId2"/>
          <a:extLst>
            <a:ext uri="{FF2B5EF4-FFF2-40B4-BE49-F238E27FC236}">
              <a16:creationId xmlns:a16="http://schemas.microsoft.com/office/drawing/2014/main" id="{98EB7970-8EC2-FFA9-ABC8-CF1F53C8523A}"/>
            </a:ext>
          </a:extLst>
        </xdr:cNvPr>
        <xdr:cNvPicPr>
          <a:picLocks noChangeAspect="1"/>
        </xdr:cNvPicPr>
      </xdr:nvPicPr>
      <xdr:blipFill>
        <a:blip xmlns:r="http://schemas.openxmlformats.org/officeDocument/2006/relationships" r:embed="rId3"/>
        <a:stretch>
          <a:fillRect/>
        </a:stretch>
      </xdr:blipFill>
      <xdr:spPr>
        <a:xfrm>
          <a:off x="15240" y="3924300"/>
          <a:ext cx="10012680" cy="390220"/>
        </a:xfrm>
        <a:prstGeom prst="rect">
          <a:avLst/>
        </a:prstGeom>
        <a:solidFill>
          <a:sysClr val="window" lastClr="FFFFFF"/>
        </a:solidFill>
      </xdr:spPr>
    </xdr:pic>
    <xdr:clientData/>
  </xdr:twoCellAnchor>
</xdr:wsDr>
</file>

<file path=xl/drawings/drawing13.xml><?xml version="1.0" encoding="utf-8"?>
<c:userShapes xmlns:c="http://schemas.openxmlformats.org/drawingml/2006/chart">
  <cdr:relSizeAnchor xmlns:cdr="http://schemas.openxmlformats.org/drawingml/2006/chartDrawing">
    <cdr:from>
      <cdr:x>0.04707</cdr:x>
      <cdr:y>0.01506</cdr:y>
    </cdr:from>
    <cdr:to>
      <cdr:x>0.10305</cdr:x>
      <cdr:y>0.1641</cdr:y>
    </cdr:to>
    <cdr:pic>
      <cdr:nvPicPr>
        <cdr:cNvPr id="2"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F083EE6-5526-E644-0262-41E5A7065BE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69900" y="58421"/>
          <a:ext cx="558800" cy="578068"/>
        </a:xfrm>
        <a:prstGeom xmlns:a="http://schemas.openxmlformats.org/drawingml/2006/main" prst="rect">
          <a:avLst/>
        </a:prstGeom>
      </cdr:spPr>
    </cdr:pic>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91788\Downloads\Hospital%20Emergency%20Room%20Dashboard.xlsx" TargetMode="External"/><Relationship Id="rId1" Type="http://schemas.openxmlformats.org/officeDocument/2006/relationships/externalLinkPath" Target="/Users/91788/Downloads/Hospital%20Emergency%20Room%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Report "/>
      <sheetName val="Dashboard"/>
      <sheetName val="Satisfaction Score Daily Trend"/>
      <sheetName val="Average Wait Time Daily Trend"/>
      <sheetName val="Daily ER No of Patient"/>
    </sheetNames>
    <sheetDataSet>
      <sheetData sheetId="0"/>
      <sheetData sheetId="1"/>
      <sheetData sheetId="2"/>
      <sheetData sheetId="3"/>
      <sheetData sheetId="4"/>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tial" refreshedDate="46030.692202777776" backgroundQuery="1" createdVersion="8" refreshedVersion="8" minRefreshableVersion="3" recordCount="0" supportSubquery="1" supportAdvancedDrill="1" xr:uid="{D3F1E029-7076-4383-AAAD-046D935682A5}">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tial" refreshedDate="46030.692203356484" backgroundQuery="1" createdVersion="8" refreshedVersion="8" minRefreshableVersion="3" recordCount="0" supportSubquery="1" supportAdvancedDrill="1" xr:uid="{CE23232A-8277-4F8C-9985-4A5D196BA9F0}">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tial" refreshedDate="46030.69220474537" backgroundQuery="1" createdVersion="8" refreshedVersion="8" minRefreshableVersion="3" recordCount="0" supportSubquery="1" supportAdvancedDrill="1" xr:uid="{EC476BF8-CCDD-4D53-BC47-ECCB10CF5CDF}">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_Group].[Age_Group]" caption="Age_Group" numFmtId="0" hierarchy="16" level="1">
      <sharedItems count="8">
        <s v="0-09"/>
        <s v="10-19"/>
        <s v="20-29"/>
        <s v="30-39"/>
        <s v="40-49"/>
        <s v="50-59"/>
        <s v="60-69"/>
        <s v="70-79"/>
      </sharedItems>
    </cacheField>
    <cacheField name="[Measures].[Count of Age_Group]" caption="Count of Age_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fieldsUsage count="2">
        <fieldUsage x="-1"/>
        <fieldUsage x="1"/>
      </fieldsUsage>
    </cacheHierarchy>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tial" refreshedDate="46030.692205555555" backgroundQuery="1" createdVersion="8" refreshedVersion="8" minRefreshableVersion="3" recordCount="0" supportSubquery="1" supportAdvancedDrill="1" xr:uid="{4260E633-2F21-4D87-B7F6-4D11164C0418}">
  <cacheSource type="external" connectionId="3"/>
  <cacheFields count="4">
    <cacheField name="[Calendar_Table].[Date (Month)].[Date (Month)]" caption="Date (Month)" numFmtId="0" hierarchy="1" level="1">
      <sharedItems containsSemiMixedTypes="0" containsNonDate="0" containsString="0"/>
    </cacheField>
    <cacheField name="[Measures].[Count of Patient_attend_status]" caption="Count of Patient_attend_status" numFmtId="0" hierarchy="31" level="32767"/>
    <cacheField name="[Hospital Emergency Room Data].[Patient_attend_status].[Patient_attend_status]" caption="Patient_attend_status"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tial" refreshedDate="46030.69220636574" backgroundQuery="1" createdVersion="8" refreshedVersion="8" minRefreshableVersion="3" recordCount="0" supportSubquery="1" supportAdvancedDrill="1" xr:uid="{D845FB35-EDE3-4CA2-AA29-E8E5F7FF9523}">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3">
        <s v="Female"/>
        <s v="Female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tial" refreshedDate="46030.692207175925" backgroundQuery="1" createdVersion="8" refreshedVersion="8" minRefreshableVersion="3" recordCount="0" supportSubquery="1" supportAdvancedDrill="1" xr:uid="{1E40F3B7-EA82-4454-85AD-76A29E55642F}">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tial" refreshedDate="46030.692208680557" backgroundQuery="1" createdVersion="8" refreshedVersion="8" minRefreshableVersion="3" recordCount="0" supportSubquery="1" supportAdvancedDrill="1" xr:uid="{D84F0268-0D99-4EC6-AB1F-2B25895EE547}">
  <cacheSource type="external" connectionId="3"/>
  <cacheFields count="4">
    <cacheField name="[Calendar_Table].[Date (Month)].[Date (Month)]" caption="Date (Month)" numFmtId="0" hierarchy="1" level="1">
      <sharedItems count="1">
        <s v="Mar"/>
      </sharedItems>
    </cacheField>
    <cacheField name="[Calendar_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tial" refreshedDate="46030.692209143519" backgroundQuery="1" createdVersion="8" refreshedVersion="8" minRefreshableVersion="3" recordCount="0" supportSubquery="1" supportAdvancedDrill="1" xr:uid="{38C2C97D-1870-41D8-A852-41B218DB6862}">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tial" refreshedDate="46030.692209953704" backgroundQuery="1" createdVersion="8" refreshedVersion="8" minRefreshableVersion="3" recordCount="0" supportSubquery="1" supportAdvancedDrill="1" xr:uid="{DF47E585-F12F-4D49-8AD2-EF765DF8A863}">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tial" refreshedDate="46030.692211226851" backgroundQuery="1" createdVersion="8" refreshedVersion="8" minRefreshableVersion="3" recordCount="0" supportSubquery="1" supportAdvancedDrill="1" xr:uid="{F7881351-30BC-4F32-8F27-E7D98DD669E5}">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tial" refreshedDate="46030.69221238426" backgroundQuery="1" createdVersion="8" refreshedVersion="8" minRefreshableVersion="3" recordCount="0" supportSubquery="1" supportAdvancedDrill="1" xr:uid="{22F202AF-7C8A-499B-ACA3-161FD5281E9C}">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tial" refreshedDate="46030.692213425929" backgroundQuery="1" createdVersion="8" refreshedVersion="8" minRefreshableVersion="3" recordCount="0" supportSubquery="1" supportAdvancedDrill="1" xr:uid="{A62A035B-8321-4089-B647-56DF728E4545}">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tial" refreshedDate="46030.637791319445" backgroundQuery="1" createdVersion="3" refreshedVersion="8" minRefreshableVersion="3" recordCount="0" supportSubquery="1" supportAdvancedDrill="1" xr:uid="{7F2F0804-7279-401E-BA31-23008E056C98}">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_attend_status]" caption="Patient_attend_status" attribute="1" defaultMemberUniqueName="[Hospital Emergency Room Data].[Patient_attend_status].[All]" allUniqueName="[Hospital Emergency Room Data].[Patient_attend_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_Group]" caption="Count of Age_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_attend_status]" caption="Count of Patient_attend_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589398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E81104-5FFF-45CD-A030-9F9971879C44}" name="PivotTable13" cacheId="812" applyNumberFormats="0" applyBorderFormats="0" applyFontFormats="0" applyPatternFormats="0" applyAlignmentFormats="0" applyWidthHeightFormats="1" dataCaption="Values" tag="a97432ca-4943-4ed5-ab0a-c742d5af4a5c" updatedVersion="8" minRefreshableVersion="3" subtotalHiddenItems="1" itemPrintTitles="1" createdVersion="8" indent="0" outline="1" outlineData="1" multipleFieldFilters="0" chartFormat="98">
  <location ref="H49:I5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Patient Gender" fld="2" subtotal="count" baseField="0" baseItem="0"/>
  </dataFields>
  <formats count="2">
    <format dxfId="103">
      <pivotArea outline="0" collapsedLevelsAreSubtotals="1" fieldPosition="0"/>
    </format>
    <format dxfId="104">
      <pivotArea collapsedLevelsAreSubtotals="1" fieldPosition="0">
        <references count="1">
          <reference field="1" count="0"/>
        </references>
      </pivotArea>
    </format>
  </formats>
  <chartFormats count="7">
    <chartFormat chart="92" format="5" series="1">
      <pivotArea type="data" outline="0" fieldPosition="0">
        <references count="1">
          <reference field="4294967294" count="1" selected="0">
            <x v="0"/>
          </reference>
        </references>
      </pivotArea>
    </chartFormat>
    <chartFormat chart="92" format="6">
      <pivotArea type="data" outline="0" fieldPosition="0">
        <references count="2">
          <reference field="4294967294" count="1" selected="0">
            <x v="0"/>
          </reference>
          <reference field="1" count="1" selected="0">
            <x v="0"/>
          </reference>
        </references>
      </pivotArea>
    </chartFormat>
    <chartFormat chart="92" format="7">
      <pivotArea type="data" outline="0" fieldPosition="0">
        <references count="2">
          <reference field="4294967294" count="1" selected="0">
            <x v="0"/>
          </reference>
          <reference field="1" count="1" selected="0">
            <x v="1"/>
          </reference>
        </references>
      </pivotArea>
    </chartFormat>
    <chartFormat chart="92" format="8">
      <pivotArea type="data" outline="0" fieldPosition="0">
        <references count="2">
          <reference field="4294967294" count="1" selected="0">
            <x v="0"/>
          </reference>
          <reference field="1" count="1" selected="0">
            <x v="2"/>
          </reference>
        </references>
      </pivotArea>
    </chartFormat>
    <chartFormat chart="97" format="4" series="1">
      <pivotArea type="data" outline="0" fieldPosition="0">
        <references count="1">
          <reference field="4294967294" count="1" selected="0">
            <x v="0"/>
          </reference>
        </references>
      </pivotArea>
    </chartFormat>
    <chartFormat chart="97" format="5">
      <pivotArea type="data" outline="0" fieldPosition="0">
        <references count="2">
          <reference field="4294967294" count="1" selected="0">
            <x v="0"/>
          </reference>
          <reference field="1" count="1" selected="0">
            <x v="0"/>
          </reference>
        </references>
      </pivotArea>
    </chartFormat>
    <chartFormat chart="97" format="6">
      <pivotArea type="data" outline="0" fieldPosition="0">
        <references count="2">
          <reference field="4294967294" count="1" selected="0">
            <x v="0"/>
          </reference>
          <reference field="1" count="1" selected="0">
            <x v="2"/>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295110-C33F-4341-A319-5F3DE1294622}" name="PivotTable9" cacheId="833" applyNumberFormats="0" applyBorderFormats="0" applyFontFormats="0" applyPatternFormats="0" applyAlignmentFormats="0" applyWidthHeightFormats="1" dataCaption="Values" tag="02fb8cf9-ca3e-4b15-9f3b-7e99302bdb82" updatedVersion="8" minRefreshableVersion="3" subtotalHiddenItems="1" itemPrintTitles="1" createdVersion="8" indent="0" outline="1" outlineData="1" multipleFieldFilters="0" chartFormat="43">
  <location ref="J4:K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91">
      <pivotArea outline="0" collapsedLevelsAreSubtotals="1" fieldPosition="0"/>
    </format>
  </formats>
  <chartFormats count="4">
    <chartFormat chart="26" format="3"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3A9A06-6A12-47EA-B874-C6047DA2CEF7}" name="PivotTable1" cacheId="800" applyNumberFormats="0" applyBorderFormats="0" applyFontFormats="0" applyPatternFormats="0" applyAlignmentFormats="0" applyWidthHeightFormats="1" dataCaption="Values" tag="9e552b79-452f-4c0c-bc38-c609a5d4bd82" updatedVersion="8" minRefreshableVersion="3"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EB1C12-06A4-4AD9-A06D-5A7DE51C92E9}" name="PivotTable14" cacheId="815" applyNumberFormats="0" applyBorderFormats="0" applyFontFormats="0" applyPatternFormats="0" applyAlignmentFormats="0" applyWidthHeightFormats="1" dataCaption="Values" tag="de53d6e4-395e-40d6-b351-889ccae9f922" updatedVersion="8" minRefreshableVersion="3" subtotalHiddenItems="1" itemPrintTitles="1" createdVersion="8" indent="0" outline="1" outlineData="1" multipleFieldFilters="0" chartFormat="105">
  <location ref="K49:L5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numFmtId="1"/>
  </dataFields>
  <formats count="1">
    <format dxfId="102">
      <pivotArea outline="0" collapsedLevelsAreSubtotals="1" fieldPosition="0"/>
    </format>
  </formats>
  <chartFormats count="2">
    <chartFormat chart="97" format="2" series="1">
      <pivotArea type="data" outline="0" fieldPosition="0">
        <references count="1">
          <reference field="4294967294" count="1" selected="0">
            <x v="0"/>
          </reference>
        </references>
      </pivotArea>
    </chartFormat>
    <chartFormat chart="10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C9A7B9-83EF-4F27-BAD4-2E0676A49902}" name="PivotTable15" cacheId="818" applyNumberFormats="0" applyBorderFormats="0" applyFontFormats="0" applyPatternFormats="0" applyAlignmentFormats="0" applyWidthHeightFormats="1" dataCaption="Values" tag="9fcf0828-4449-4714-9b58-cdb1d66b0e23" updatedVersion="8" minRefreshableVersion="3" subtotalHiddenItems="1" itemPrintTitles="1" createdVersion="8" indent="0" outline="1" outlineData="1" multipleFieldFilters="0" chartFormat="98">
  <location ref="H57:H5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92">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08E350-E3A8-4A76-8A76-F29AE25086F3}" name="PivotTable10" cacheId="803" applyNumberFormats="0" applyBorderFormats="0" applyFontFormats="0" applyPatternFormats="0" applyAlignmentFormats="0" applyWidthHeightFormats="1" dataCaption="Values" tag="89600203-309e-4446-a39e-c376de237d52" updatedVersion="8" minRefreshableVersion="3" subtotalHiddenItems="1" itemPrintTitles="1" createdVersion="8" indent="0" outline="1" outlineData="1" multipleFieldFilters="0" chartFormat="229">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99">
      <pivotArea outline="0" collapsedLevelsAreSubtotals="1" fieldPosition="0"/>
    </format>
    <format dxfId="100">
      <pivotArea collapsedLevelsAreSubtotals="1" fieldPosition="0">
        <references count="2">
          <reference field="4294967294" count="1" selected="0">
            <x v="0"/>
          </reference>
          <reference field="2" count="0"/>
        </references>
      </pivotArea>
    </format>
    <format dxfId="101">
      <pivotArea outline="0" fieldPosition="0">
        <references count="1">
          <reference field="4294967294" count="1">
            <x v="1"/>
          </reference>
        </references>
      </pivotArea>
    </format>
  </format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2" format="10"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77" format="2" series="1">
      <pivotArea type="data" outline="0" fieldPosition="0">
        <references count="1">
          <reference field="4294967294" count="1" selected="0">
            <x v="0"/>
          </reference>
        </references>
      </pivotArea>
    </chartFormat>
    <chartFormat chart="77" format="3" series="1">
      <pivotArea type="data" outline="0" fieldPosition="0">
        <references count="1">
          <reference field="4294967294" count="1" selected="0">
            <x v="1"/>
          </reference>
        </references>
      </pivotArea>
    </chartFormat>
    <chartFormat chart="78" format="6" series="1">
      <pivotArea type="data" outline="0" fieldPosition="0">
        <references count="1">
          <reference field="4294967294" count="1" selected="0">
            <x v="0"/>
          </reference>
        </references>
      </pivotArea>
    </chartFormat>
    <chartFormat chart="78" format="7" series="1">
      <pivotArea type="data" outline="0" fieldPosition="0">
        <references count="1">
          <reference field="4294967294" count="1" selected="0">
            <x v="1"/>
          </reference>
        </references>
      </pivotArea>
    </chartFormat>
    <chartFormat chart="79" format="8" series="1">
      <pivotArea type="data" outline="0" fieldPosition="0">
        <references count="1">
          <reference field="4294967294" count="1" selected="0">
            <x v="0"/>
          </reference>
        </references>
      </pivotArea>
    </chartFormat>
    <chartFormat chart="79" format="9" series="1">
      <pivotArea type="data" outline="0" fieldPosition="0">
        <references count="1">
          <reference field="4294967294" count="1" selected="0">
            <x v="1"/>
          </reference>
        </references>
      </pivotArea>
    </chartFormat>
    <chartFormat chart="80" format="12" series="1">
      <pivotArea type="data" outline="0" fieldPosition="0">
        <references count="1">
          <reference field="4294967294" count="1" selected="0">
            <x v="0"/>
          </reference>
        </references>
      </pivotArea>
    </chartFormat>
    <chartFormat chart="80" format="13"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C15F55-7323-4424-8D1C-9FA364B585A6}" name="PivotTable2" cacheId="821" applyNumberFormats="0" applyBorderFormats="0" applyFontFormats="0" applyPatternFormats="0" applyAlignmentFormats="0" applyWidthHeightFormats="1" dataCaption="Values" tag="3b01df70-8ca4-43f3-a77c-72e5d00e575f" updatedVersion="8" minRefreshableVersion="3" subtotalHiddenItems="1" itemPrintTitles="1" createdVersion="8"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8">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56C1F8-310F-4363-9481-39F61BED130E}" name="PivotTable11" cacheId="806" applyNumberFormats="0" applyBorderFormats="0" applyFontFormats="0" applyPatternFormats="0" applyAlignmentFormats="0" applyWidthHeightFormats="1" dataCaption="Values" tag="67bcf0bf-cbc6-491f-8151-bd99b11e6c84" updatedVersion="8" minRefreshableVersion="3" subtotalHiddenItems="1" itemPrintTitles="1" createdVersion="8" indent="0" outline="1" outlineData="1" multipleFieldFilters="0" chartFormat="88">
  <location ref="A49:B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_Group" fld="2" subtotal="count" baseField="0" baseItem="0"/>
  </dataFields>
  <formats count="2">
    <format dxfId="96">
      <pivotArea outline="0" collapsedLevelsAreSubtotals="1" fieldPosition="0"/>
    </format>
    <format dxfId="97">
      <pivotArea collapsedLevelsAreSubtotals="1" fieldPosition="0">
        <references count="1">
          <reference field="1" count="0"/>
        </references>
      </pivotArea>
    </format>
  </formats>
  <chartFormats count="3">
    <chartFormat chart="81" format="2"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 chart="86"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B44662-78EB-4063-8A36-C1372D8FD22A}" name="PivotTable3" cacheId="824" applyNumberFormats="0" applyBorderFormats="0" applyFontFormats="0" applyPatternFormats="0" applyAlignmentFormats="0" applyWidthHeightFormats="1" dataCaption="Values" tag="8eb0f6a2-f3e5-4cb9-b883-54825ed4426e" updatedVersion="8" minRefreshableVersion="3" subtotalHiddenItems="1" itemPrintTitles="1" createdVersion="8"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5">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D5AFFB-439C-4C3A-9018-610D11B28AE3}" name="PivotTable12" cacheId="809" applyNumberFormats="0" applyBorderFormats="0" applyFontFormats="0" applyPatternFormats="0" applyAlignmentFormats="0" applyWidthHeightFormats="1" dataCaption="Values" tag="5237d803-7b5f-4402-aeb4-c7c84ce52385" updatedVersion="8" minRefreshableVersion="3" subtotalHiddenItems="1" itemPrintTitles="1" createdVersion="8" indent="0" outline="1" outlineData="1" multipleFieldFilters="0" chartFormat="95">
  <location ref="D49:E5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_attend_status" fld="1" subtotal="count" baseField="0" baseItem="0"/>
  </dataFields>
  <formats count="2">
    <format dxfId="93">
      <pivotArea outline="0" collapsedLevelsAreSubtotals="1" fieldPosition="0"/>
    </format>
    <format dxfId="94">
      <pivotArea collapsedLevelsAreSubtotals="1" fieldPosition="0">
        <references count="1">
          <reference field="2" count="0"/>
        </references>
      </pivotArea>
    </format>
  </formats>
  <chartFormats count="6">
    <chartFormat chart="86" format="4" series="1">
      <pivotArea type="data" outline="0" fieldPosition="0">
        <references count="1">
          <reference field="4294967294" count="1" selected="0">
            <x v="0"/>
          </reference>
        </references>
      </pivotArea>
    </chartFormat>
    <chartFormat chart="86" format="5">
      <pivotArea type="data" outline="0" fieldPosition="0">
        <references count="2">
          <reference field="4294967294" count="1" selected="0">
            <x v="0"/>
          </reference>
          <reference field="2" count="1" selected="0">
            <x v="0"/>
          </reference>
        </references>
      </pivotArea>
    </chartFormat>
    <chartFormat chart="86" format="6">
      <pivotArea type="data" outline="0" fieldPosition="0">
        <references count="2">
          <reference field="4294967294" count="1" selected="0">
            <x v="0"/>
          </reference>
          <reference field="2" count="1" selected="0">
            <x v="1"/>
          </reference>
        </references>
      </pivotArea>
    </chartFormat>
    <chartFormat chart="93" format="4" series="1">
      <pivotArea type="data" outline="0" fieldPosition="0">
        <references count="1">
          <reference field="4294967294" count="1" selected="0">
            <x v="0"/>
          </reference>
        </references>
      </pivotArea>
    </chartFormat>
    <chartFormat chart="93" format="5">
      <pivotArea type="data" outline="0" fieldPosition="0">
        <references count="2">
          <reference field="4294967294" count="1" selected="0">
            <x v="0"/>
          </reference>
          <reference field="2" count="1" selected="0">
            <x v="0"/>
          </reference>
        </references>
      </pivotArea>
    </chartFormat>
    <chartFormat chart="93"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E9FE8D-5779-4F8E-815F-FF6FA3D9AD49}" name="PivotTable7" cacheId="827" applyNumberFormats="0" applyBorderFormats="0" applyFontFormats="0" applyPatternFormats="0" applyAlignmentFormats="0" applyWidthHeightFormats="1" dataCaption="Values" tag="68415272-5767-4694-9357-c464c31c3cd8" updatedVersion="8" minRefreshableVersion="3" subtotalHiddenItems="1" itemPrintTitles="1" createdVersion="8" indent="0" outline="1" outlineData="1" multipleFieldFilters="0" chartFormat="21">
  <location ref="C4:D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4D3AA74-5374-41F2-83FE-E99D125C9452}" name="PivotTable8" cacheId="830" applyNumberFormats="0" applyBorderFormats="0" applyFontFormats="0" applyPatternFormats="0" applyAlignmentFormats="0" applyWidthHeightFormats="1" dataCaption="Values" tag="aefc198d-972b-4643-b6ef-ba67adaf42af" updatedVersion="8" minRefreshableVersion="3" subtotalHiddenItems="1" itemPrintTitles="1" createdVersion="8" indent="0" outline="1" outlineData="1" multipleFieldFilters="0" chartFormat="33">
  <location ref="G4:H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90">
      <pivotArea outline="0" collapsedLevelsAreSubtotals="1" fieldPosition="0"/>
    </format>
  </formats>
  <chartFormats count="4">
    <chartFormat chart="17"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8D47288-FCA7-4946-AE12-A2829CF632E6}" sourceName="[Calendar_Table].[Date (Year)]">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2"/>
    <pivotTable tabId="1" name="PivotTable3"/>
    <pivotTable tabId="1" name="PivotTable7"/>
    <pivotTable tabId="1" name="PivotTable8"/>
    <pivotTable tabId="1" name="PivotTable9"/>
  </pivotTables>
  <data>
    <olap pivotCacheId="155893989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B50FA20-C514-4DFB-BEF6-D14E4E9493DA}" sourceName="[Calendar_Table].[Date (Month)]">
  <pivotTables>
    <pivotTable tabId="1" name="PivotTable1"/>
    <pivotTable tabId="1" name="PivotTable10"/>
    <pivotTable tabId="1" name="PivotTable11"/>
    <pivotTable tabId="1" name="PivotTable12"/>
    <pivotTable tabId="1" name="PivotTable13"/>
    <pivotTable tabId="1" name="PivotTable14"/>
    <pivotTable tabId="1" name="PivotTable15"/>
    <pivotTable tabId="1" name="PivotTable2"/>
    <pivotTable tabId="1" name="PivotTable3"/>
    <pivotTable tabId="1" name="PivotTable7"/>
    <pivotTable tabId="1" name="PivotTable8"/>
    <pivotTable tabId="1" name="PivotTable9"/>
  </pivotTables>
  <data>
    <olap pivotCacheId="1558939896">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p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2F70D648-6246-4565-B861-07C5F49B61B2}" cache="Slicer_Date__Year" caption="Date (Year)" columnCount="2" showCaption="0" level="1" rowHeight="180000"/>
  <slicer name="Date (Month)" xr10:uid="{6C1055AC-8BE8-4678-BD2E-55D8EEA790CE}" cache="Slicer_Date__Month" caption="Date (Month)" showCaption="0" level="1" rowHeight="16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28739-7593-425D-828D-90F96BB60DC5}">
  <dimension ref="A2:L59"/>
  <sheetViews>
    <sheetView topLeftCell="A15" zoomScale="90" zoomScaleNormal="90" workbookViewId="0">
      <selection activeCell="A45" sqref="A45"/>
    </sheetView>
  </sheetViews>
  <sheetFormatPr defaultRowHeight="14.4" x14ac:dyDescent="0.3"/>
  <cols>
    <col min="1" max="1" width="15.44140625" customWidth="1"/>
    <col min="2" max="3" width="14.6640625" customWidth="1"/>
    <col min="4" max="4" width="23.5546875" customWidth="1"/>
    <col min="7" max="7" width="13.44140625" customWidth="1"/>
    <col min="8" max="8" width="25.109375" customWidth="1"/>
    <col min="10" max="10" width="21.77734375" customWidth="1"/>
    <col min="11" max="11" width="23.88671875" customWidth="1"/>
  </cols>
  <sheetData>
    <row r="2" spans="1:11" x14ac:dyDescent="0.3">
      <c r="A2" t="s">
        <v>0</v>
      </c>
    </row>
    <row r="3" spans="1:11" x14ac:dyDescent="0.3">
      <c r="A3" t="s">
        <v>1</v>
      </c>
      <c r="C3" t="s">
        <v>2</v>
      </c>
      <c r="G3" t="s">
        <v>3</v>
      </c>
      <c r="J3" t="s">
        <v>4</v>
      </c>
    </row>
    <row r="4" spans="1:11" x14ac:dyDescent="0.3">
      <c r="A4" s="11">
        <v>479</v>
      </c>
      <c r="C4" s="10" t="s">
        <v>5</v>
      </c>
      <c r="D4" t="s">
        <v>1</v>
      </c>
      <c r="G4" s="10" t="s">
        <v>5</v>
      </c>
      <c r="H4" t="s">
        <v>6</v>
      </c>
      <c r="J4" s="10" t="s">
        <v>5</v>
      </c>
      <c r="K4" t="s">
        <v>7</v>
      </c>
    </row>
    <row r="5" spans="1:11" x14ac:dyDescent="0.3">
      <c r="C5" s="1" t="s">
        <v>46</v>
      </c>
      <c r="D5" s="11">
        <v>19</v>
      </c>
      <c r="G5" s="1" t="s">
        <v>46</v>
      </c>
      <c r="H5" s="2">
        <v>40.473684210526315</v>
      </c>
      <c r="J5" s="1" t="s">
        <v>46</v>
      </c>
      <c r="K5" s="2">
        <v>3.8</v>
      </c>
    </row>
    <row r="6" spans="1:11" x14ac:dyDescent="0.3">
      <c r="A6" t="s">
        <v>6</v>
      </c>
      <c r="C6" s="1" t="s">
        <v>47</v>
      </c>
      <c r="D6" s="11">
        <v>13</v>
      </c>
      <c r="G6" s="1" t="s">
        <v>47</v>
      </c>
      <c r="H6" s="2">
        <v>29.46153846153846</v>
      </c>
      <c r="J6" s="1" t="s">
        <v>47</v>
      </c>
      <c r="K6" s="2">
        <v>7.75</v>
      </c>
    </row>
    <row r="7" spans="1:11" x14ac:dyDescent="0.3">
      <c r="A7" s="2">
        <v>34.90187891440501</v>
      </c>
      <c r="C7" s="1" t="s">
        <v>48</v>
      </c>
      <c r="D7" s="11">
        <v>14</v>
      </c>
      <c r="G7" s="1" t="s">
        <v>48</v>
      </c>
      <c r="H7" s="2">
        <v>33.928571428571431</v>
      </c>
      <c r="J7" s="1" t="s">
        <v>48</v>
      </c>
      <c r="K7" s="2">
        <v>4.5999999999999996</v>
      </c>
    </row>
    <row r="8" spans="1:11" x14ac:dyDescent="0.3">
      <c r="C8" s="1" t="s">
        <v>49</v>
      </c>
      <c r="D8" s="11">
        <v>9</v>
      </c>
      <c r="G8" s="1" t="s">
        <v>49</v>
      </c>
      <c r="H8" s="2">
        <v>32.222222222222221</v>
      </c>
      <c r="J8" s="1" t="s">
        <v>49</v>
      </c>
      <c r="K8" s="2">
        <v>6</v>
      </c>
    </row>
    <row r="9" spans="1:11" x14ac:dyDescent="0.3">
      <c r="C9" s="1" t="s">
        <v>50</v>
      </c>
      <c r="D9" s="11">
        <v>19</v>
      </c>
      <c r="G9" s="1" t="s">
        <v>50</v>
      </c>
      <c r="H9" s="2">
        <v>35.736842105263158</v>
      </c>
      <c r="J9" s="1" t="s">
        <v>50</v>
      </c>
      <c r="K9" s="2">
        <v>5.5714285714285712</v>
      </c>
    </row>
    <row r="10" spans="1:11" x14ac:dyDescent="0.3">
      <c r="A10" t="s">
        <v>7</v>
      </c>
      <c r="C10" s="1" t="s">
        <v>51</v>
      </c>
      <c r="D10" s="11">
        <v>14</v>
      </c>
      <c r="G10" s="1" t="s">
        <v>51</v>
      </c>
      <c r="H10" s="2">
        <v>30.142857142857142</v>
      </c>
      <c r="J10" s="1" t="s">
        <v>51</v>
      </c>
      <c r="K10" s="2">
        <v>2</v>
      </c>
    </row>
    <row r="11" spans="1:11" x14ac:dyDescent="0.3">
      <c r="A11" s="2">
        <v>5.3034482758620687</v>
      </c>
      <c r="C11" s="1" t="s">
        <v>52</v>
      </c>
      <c r="D11" s="11">
        <v>11</v>
      </c>
      <c r="G11" s="1" t="s">
        <v>52</v>
      </c>
      <c r="H11" s="2">
        <v>33.81818181818182</v>
      </c>
      <c r="J11" s="1" t="s">
        <v>52</v>
      </c>
      <c r="K11" s="2">
        <v>8</v>
      </c>
    </row>
    <row r="12" spans="1:11" x14ac:dyDescent="0.3">
      <c r="C12" s="1" t="s">
        <v>53</v>
      </c>
      <c r="D12" s="11">
        <v>22</v>
      </c>
      <c r="G12" s="1" t="s">
        <v>53</v>
      </c>
      <c r="H12" s="2">
        <v>31.681818181818183</v>
      </c>
      <c r="J12" s="1" t="s">
        <v>53</v>
      </c>
      <c r="K12" s="2">
        <v>8</v>
      </c>
    </row>
    <row r="13" spans="1:11" x14ac:dyDescent="0.3">
      <c r="C13" s="1" t="s">
        <v>54</v>
      </c>
      <c r="D13" s="11">
        <v>12</v>
      </c>
      <c r="G13" s="1" t="s">
        <v>54</v>
      </c>
      <c r="H13" s="2">
        <v>36.416666666666664</v>
      </c>
      <c r="J13" s="1" t="s">
        <v>54</v>
      </c>
      <c r="K13" s="2">
        <v>5.25</v>
      </c>
    </row>
    <row r="14" spans="1:11" x14ac:dyDescent="0.3">
      <c r="C14" s="1" t="s">
        <v>55</v>
      </c>
      <c r="D14" s="11">
        <v>13</v>
      </c>
      <c r="G14" s="1" t="s">
        <v>55</v>
      </c>
      <c r="H14" s="2">
        <v>33.692307692307693</v>
      </c>
      <c r="J14" s="1" t="s">
        <v>55</v>
      </c>
      <c r="K14" s="2">
        <v>6</v>
      </c>
    </row>
    <row r="15" spans="1:11" x14ac:dyDescent="0.3">
      <c r="C15" s="1" t="s">
        <v>56</v>
      </c>
      <c r="D15" s="11">
        <v>17</v>
      </c>
      <c r="G15" s="1" t="s">
        <v>56</v>
      </c>
      <c r="H15" s="2">
        <v>39.117647058823529</v>
      </c>
      <c r="J15" s="1" t="s">
        <v>56</v>
      </c>
      <c r="K15" s="2">
        <v>6.5</v>
      </c>
    </row>
    <row r="16" spans="1:11" x14ac:dyDescent="0.3">
      <c r="C16" s="1" t="s">
        <v>57</v>
      </c>
      <c r="D16" s="11">
        <v>30</v>
      </c>
      <c r="G16" s="1" t="s">
        <v>57</v>
      </c>
      <c r="H16" s="2">
        <v>36.93333333333333</v>
      </c>
      <c r="J16" s="1" t="s">
        <v>57</v>
      </c>
      <c r="K16" s="2">
        <v>5.75</v>
      </c>
    </row>
    <row r="17" spans="3:11" x14ac:dyDescent="0.3">
      <c r="C17" s="1" t="s">
        <v>58</v>
      </c>
      <c r="D17" s="11">
        <v>13</v>
      </c>
      <c r="G17" s="1" t="s">
        <v>58</v>
      </c>
      <c r="H17" s="2">
        <v>29.923076923076923</v>
      </c>
      <c r="J17" s="1" t="s">
        <v>58</v>
      </c>
      <c r="K17" s="2">
        <v>5.6</v>
      </c>
    </row>
    <row r="18" spans="3:11" x14ac:dyDescent="0.3">
      <c r="C18" s="1" t="s">
        <v>59</v>
      </c>
      <c r="D18" s="11">
        <v>21</v>
      </c>
      <c r="G18" s="1" t="s">
        <v>59</v>
      </c>
      <c r="H18" s="2">
        <v>31.666666666666668</v>
      </c>
      <c r="J18" s="1" t="s">
        <v>59</v>
      </c>
      <c r="K18" s="2">
        <v>6.5</v>
      </c>
    </row>
    <row r="19" spans="3:11" x14ac:dyDescent="0.3">
      <c r="C19" s="1" t="s">
        <v>60</v>
      </c>
      <c r="D19" s="11">
        <v>12</v>
      </c>
      <c r="G19" s="1" t="s">
        <v>60</v>
      </c>
      <c r="H19" s="2">
        <v>40.25</v>
      </c>
      <c r="J19" s="1" t="s">
        <v>60</v>
      </c>
      <c r="K19" s="2">
        <v>5.666666666666667</v>
      </c>
    </row>
    <row r="20" spans="3:11" x14ac:dyDescent="0.3">
      <c r="C20" s="1" t="s">
        <v>61</v>
      </c>
      <c r="D20" s="11">
        <v>17</v>
      </c>
      <c r="G20" s="1" t="s">
        <v>61</v>
      </c>
      <c r="H20" s="2">
        <v>30</v>
      </c>
      <c r="J20" s="1" t="s">
        <v>61</v>
      </c>
      <c r="K20" s="2">
        <v>5.666666666666667</v>
      </c>
    </row>
    <row r="21" spans="3:11" x14ac:dyDescent="0.3">
      <c r="C21" s="1" t="s">
        <v>62</v>
      </c>
      <c r="D21" s="11">
        <v>16</v>
      </c>
      <c r="G21" s="1" t="s">
        <v>62</v>
      </c>
      <c r="H21" s="2">
        <v>35</v>
      </c>
      <c r="J21" s="1" t="s">
        <v>62</v>
      </c>
      <c r="K21" s="2">
        <v>5.8</v>
      </c>
    </row>
    <row r="22" spans="3:11" x14ac:dyDescent="0.3">
      <c r="C22" s="1" t="s">
        <v>63</v>
      </c>
      <c r="D22" s="11">
        <v>20</v>
      </c>
      <c r="G22" s="1" t="s">
        <v>63</v>
      </c>
      <c r="H22" s="2">
        <v>41.85</v>
      </c>
      <c r="J22" s="1" t="s">
        <v>63</v>
      </c>
      <c r="K22" s="2">
        <v>4.666666666666667</v>
      </c>
    </row>
    <row r="23" spans="3:11" x14ac:dyDescent="0.3">
      <c r="C23" s="1" t="s">
        <v>64</v>
      </c>
      <c r="D23" s="11">
        <v>18</v>
      </c>
      <c r="G23" s="1" t="s">
        <v>64</v>
      </c>
      <c r="H23" s="2">
        <v>33.277777777777779</v>
      </c>
      <c r="J23" s="1" t="s">
        <v>64</v>
      </c>
      <c r="K23" s="2">
        <v>4.833333333333333</v>
      </c>
    </row>
    <row r="24" spans="3:11" x14ac:dyDescent="0.3">
      <c r="C24" s="1" t="s">
        <v>65</v>
      </c>
      <c r="D24" s="11">
        <v>16</v>
      </c>
      <c r="G24" s="1" t="s">
        <v>65</v>
      </c>
      <c r="H24" s="2">
        <v>32.9375</v>
      </c>
      <c r="J24" s="1" t="s">
        <v>65</v>
      </c>
      <c r="K24" s="2">
        <v>2.3333333333333335</v>
      </c>
    </row>
    <row r="25" spans="3:11" x14ac:dyDescent="0.3">
      <c r="C25" s="1" t="s">
        <v>66</v>
      </c>
      <c r="D25" s="11">
        <v>15</v>
      </c>
      <c r="G25" s="1" t="s">
        <v>66</v>
      </c>
      <c r="H25" s="2">
        <v>33.266666666666666</v>
      </c>
      <c r="J25" s="1" t="s">
        <v>66</v>
      </c>
      <c r="K25" s="2">
        <v>4.5</v>
      </c>
    </row>
    <row r="26" spans="3:11" x14ac:dyDescent="0.3">
      <c r="C26" s="1" t="s">
        <v>67</v>
      </c>
      <c r="D26" s="11">
        <v>18</v>
      </c>
      <c r="G26" s="1" t="s">
        <v>67</v>
      </c>
      <c r="H26" s="2">
        <v>34.444444444444443</v>
      </c>
      <c r="J26" s="1" t="s">
        <v>67</v>
      </c>
      <c r="K26" s="2">
        <v>6.666666666666667</v>
      </c>
    </row>
    <row r="27" spans="3:11" x14ac:dyDescent="0.3">
      <c r="C27" s="1" t="s">
        <v>68</v>
      </c>
      <c r="D27" s="11">
        <v>12</v>
      </c>
      <c r="G27" s="1" t="s">
        <v>68</v>
      </c>
      <c r="H27" s="2">
        <v>43.416666666666664</v>
      </c>
      <c r="J27" s="1" t="s">
        <v>68</v>
      </c>
      <c r="K27" s="2">
        <v>7.5</v>
      </c>
    </row>
    <row r="28" spans="3:11" x14ac:dyDescent="0.3">
      <c r="C28" s="1" t="s">
        <v>69</v>
      </c>
      <c r="D28" s="11">
        <v>14</v>
      </c>
      <c r="G28" s="1" t="s">
        <v>69</v>
      </c>
      <c r="H28" s="2">
        <v>36.357142857142854</v>
      </c>
      <c r="J28" s="1" t="s">
        <v>69</v>
      </c>
      <c r="K28" s="2">
        <v>5.2857142857142856</v>
      </c>
    </row>
    <row r="29" spans="3:11" x14ac:dyDescent="0.3">
      <c r="C29" s="1" t="s">
        <v>70</v>
      </c>
      <c r="D29" s="11">
        <v>18</v>
      </c>
      <c r="G29" s="1" t="s">
        <v>70</v>
      </c>
      <c r="H29" s="2">
        <v>40.611111111111114</v>
      </c>
      <c r="J29" s="1" t="s">
        <v>70</v>
      </c>
      <c r="K29" s="2">
        <v>2.875</v>
      </c>
    </row>
    <row r="30" spans="3:11" x14ac:dyDescent="0.3">
      <c r="C30" s="1" t="s">
        <v>71</v>
      </c>
      <c r="D30" s="11">
        <v>16</v>
      </c>
      <c r="G30" s="1" t="s">
        <v>71</v>
      </c>
      <c r="H30" s="2">
        <v>29.875</v>
      </c>
      <c r="J30" s="1" t="s">
        <v>71</v>
      </c>
      <c r="K30" s="2">
        <v>6.25</v>
      </c>
    </row>
    <row r="31" spans="3:11" x14ac:dyDescent="0.3">
      <c r="C31" s="1" t="s">
        <v>72</v>
      </c>
      <c r="D31" s="11">
        <v>16</v>
      </c>
      <c r="G31" s="1" t="s">
        <v>72</v>
      </c>
      <c r="H31" s="2">
        <v>33.5</v>
      </c>
      <c r="J31" s="1" t="s">
        <v>72</v>
      </c>
      <c r="K31" s="2">
        <v>6.125</v>
      </c>
    </row>
    <row r="32" spans="3:11" x14ac:dyDescent="0.3">
      <c r="C32" s="1" t="s">
        <v>73</v>
      </c>
      <c r="D32" s="11">
        <v>16</v>
      </c>
      <c r="G32" s="1" t="s">
        <v>73</v>
      </c>
      <c r="H32" s="2">
        <v>32.5625</v>
      </c>
      <c r="J32" s="1" t="s">
        <v>73</v>
      </c>
      <c r="K32" s="2">
        <v>5.75</v>
      </c>
    </row>
    <row r="33" spans="1:11" x14ac:dyDescent="0.3">
      <c r="C33" s="1" t="s">
        <v>74</v>
      </c>
      <c r="D33" s="11">
        <v>14</v>
      </c>
      <c r="G33" s="1" t="s">
        <v>74</v>
      </c>
      <c r="H33" s="2">
        <v>38.571428571428569</v>
      </c>
      <c r="J33" s="1" t="s">
        <v>74</v>
      </c>
      <c r="K33" s="2">
        <v>5.375</v>
      </c>
    </row>
    <row r="34" spans="1:11" x14ac:dyDescent="0.3">
      <c r="C34" s="1" t="s">
        <v>75</v>
      </c>
      <c r="D34" s="11">
        <v>14</v>
      </c>
      <c r="G34" s="1" t="s">
        <v>75</v>
      </c>
      <c r="H34" s="2">
        <v>32.714285714285715</v>
      </c>
      <c r="J34" s="1" t="s">
        <v>75</v>
      </c>
      <c r="K34" s="2">
        <v>5.6</v>
      </c>
    </row>
    <row r="35" spans="1:11" x14ac:dyDescent="0.3">
      <c r="C35" s="1" t="s">
        <v>8</v>
      </c>
      <c r="D35" s="11">
        <v>479</v>
      </c>
      <c r="G35" s="1" t="s">
        <v>8</v>
      </c>
      <c r="H35" s="2">
        <v>34.90187891440501</v>
      </c>
      <c r="J35" s="1" t="s">
        <v>8</v>
      </c>
      <c r="K35" s="2">
        <v>5.3034482758620687</v>
      </c>
    </row>
    <row r="38" spans="1:11" x14ac:dyDescent="0.3">
      <c r="A38" s="10" t="s">
        <v>5</v>
      </c>
      <c r="B38" t="s">
        <v>9</v>
      </c>
      <c r="C38" t="s">
        <v>10</v>
      </c>
    </row>
    <row r="39" spans="1:11" x14ac:dyDescent="0.3">
      <c r="A39" s="1" t="s">
        <v>11</v>
      </c>
      <c r="B39" s="3">
        <v>237</v>
      </c>
      <c r="C39" s="4">
        <v>0.49478079331941544</v>
      </c>
    </row>
    <row r="40" spans="1:11" x14ac:dyDescent="0.3">
      <c r="A40" s="1" t="s">
        <v>12</v>
      </c>
      <c r="B40" s="3">
        <v>242</v>
      </c>
      <c r="C40" s="4">
        <v>0.50521920668058451</v>
      </c>
    </row>
    <row r="41" spans="1:11" x14ac:dyDescent="0.3">
      <c r="A41" s="1" t="s">
        <v>8</v>
      </c>
      <c r="B41" s="2">
        <v>479</v>
      </c>
      <c r="C41" s="4">
        <v>1</v>
      </c>
    </row>
    <row r="44" spans="1:11" x14ac:dyDescent="0.3">
      <c r="A44" s="5" t="s">
        <v>13</v>
      </c>
      <c r="B44" s="6" t="s">
        <v>14</v>
      </c>
      <c r="C44" s="6" t="s">
        <v>15</v>
      </c>
      <c r="D44" s="6"/>
    </row>
    <row r="45" spans="1:11" x14ac:dyDescent="0.3">
      <c r="A45" s="7" t="str">
        <f>A40</f>
        <v>Not - Admitted</v>
      </c>
      <c r="B45" s="7">
        <f>B40</f>
        <v>242</v>
      </c>
      <c r="C45" s="8">
        <f>C40</f>
        <v>0.50521920668058451</v>
      </c>
      <c r="D45" s="9"/>
    </row>
    <row r="46" spans="1:11" x14ac:dyDescent="0.3">
      <c r="A46" s="7" t="str">
        <f>A39</f>
        <v>Admitted</v>
      </c>
      <c r="B46" s="7">
        <f t="shared" ref="B46:C46" si="0">B39</f>
        <v>237</v>
      </c>
      <c r="C46" s="8">
        <f t="shared" si="0"/>
        <v>0.49478079331941544</v>
      </c>
      <c r="D46" s="9"/>
    </row>
    <row r="48" spans="1:11" x14ac:dyDescent="0.3">
      <c r="A48" t="s">
        <v>16</v>
      </c>
      <c r="D48" t="s">
        <v>17</v>
      </c>
      <c r="H48" t="s">
        <v>18</v>
      </c>
      <c r="K48" t="s">
        <v>19</v>
      </c>
    </row>
    <row r="49" spans="1:12" x14ac:dyDescent="0.3">
      <c r="A49" s="10" t="s">
        <v>5</v>
      </c>
      <c r="B49" t="s">
        <v>20</v>
      </c>
      <c r="D49" s="10" t="s">
        <v>5</v>
      </c>
      <c r="E49" t="s">
        <v>21</v>
      </c>
      <c r="H49" s="10" t="s">
        <v>5</v>
      </c>
      <c r="I49" t="s">
        <v>22</v>
      </c>
      <c r="K49" s="10" t="s">
        <v>5</v>
      </c>
      <c r="L49" t="s">
        <v>23</v>
      </c>
    </row>
    <row r="50" spans="1:12" x14ac:dyDescent="0.3">
      <c r="A50" s="1" t="s">
        <v>24</v>
      </c>
      <c r="B50" s="3">
        <v>70</v>
      </c>
      <c r="D50" s="1" t="s">
        <v>25</v>
      </c>
      <c r="E50" s="3">
        <v>273</v>
      </c>
      <c r="H50" s="1" t="s">
        <v>26</v>
      </c>
      <c r="I50" s="3">
        <v>232</v>
      </c>
      <c r="K50" s="1" t="s">
        <v>33</v>
      </c>
      <c r="L50" s="3">
        <v>4</v>
      </c>
    </row>
    <row r="51" spans="1:12" x14ac:dyDescent="0.3">
      <c r="A51" s="1" t="s">
        <v>28</v>
      </c>
      <c r="B51" s="3">
        <v>67</v>
      </c>
      <c r="D51" s="1" t="s">
        <v>29</v>
      </c>
      <c r="E51" s="3">
        <v>206</v>
      </c>
      <c r="H51" s="1" t="s">
        <v>45</v>
      </c>
      <c r="I51" s="3">
        <v>3</v>
      </c>
      <c r="K51" s="1" t="s">
        <v>27</v>
      </c>
      <c r="L51" s="3">
        <v>11</v>
      </c>
    </row>
    <row r="52" spans="1:12" x14ac:dyDescent="0.3">
      <c r="A52" s="1" t="s">
        <v>32</v>
      </c>
      <c r="B52" s="3">
        <v>64</v>
      </c>
      <c r="D52" s="1" t="s">
        <v>8</v>
      </c>
      <c r="E52" s="2">
        <v>479</v>
      </c>
      <c r="H52" s="1" t="s">
        <v>30</v>
      </c>
      <c r="I52" s="3">
        <v>244</v>
      </c>
      <c r="K52" s="1" t="s">
        <v>37</v>
      </c>
      <c r="L52" s="3">
        <v>11</v>
      </c>
    </row>
    <row r="53" spans="1:12" x14ac:dyDescent="0.3">
      <c r="A53" s="1" t="s">
        <v>34</v>
      </c>
      <c r="B53" s="3">
        <v>60</v>
      </c>
      <c r="H53" s="1" t="s">
        <v>8</v>
      </c>
      <c r="I53" s="2">
        <v>479</v>
      </c>
      <c r="K53" s="1" t="s">
        <v>31</v>
      </c>
      <c r="L53" s="3">
        <v>12</v>
      </c>
    </row>
    <row r="54" spans="1:12" x14ac:dyDescent="0.3">
      <c r="A54" s="1" t="s">
        <v>36</v>
      </c>
      <c r="B54" s="3">
        <v>42</v>
      </c>
      <c r="K54" s="1" t="s">
        <v>35</v>
      </c>
      <c r="L54" s="3">
        <v>18</v>
      </c>
    </row>
    <row r="55" spans="1:12" x14ac:dyDescent="0.3">
      <c r="A55" s="1" t="s">
        <v>38</v>
      </c>
      <c r="B55" s="3">
        <v>53</v>
      </c>
      <c r="K55" s="1" t="s">
        <v>39</v>
      </c>
      <c r="L55" s="3">
        <v>45</v>
      </c>
    </row>
    <row r="56" spans="1:12" x14ac:dyDescent="0.3">
      <c r="A56" s="1" t="s">
        <v>40</v>
      </c>
      <c r="B56" s="3">
        <v>71</v>
      </c>
      <c r="H56" s="1" t="s">
        <v>41</v>
      </c>
      <c r="K56" s="1" t="s">
        <v>42</v>
      </c>
      <c r="L56" s="3">
        <v>115</v>
      </c>
    </row>
    <row r="57" spans="1:12" x14ac:dyDescent="0.3">
      <c r="A57" s="1" t="s">
        <v>43</v>
      </c>
      <c r="B57" s="3">
        <v>52</v>
      </c>
      <c r="H57" s="10" t="s">
        <v>5</v>
      </c>
      <c r="K57" s="1" t="s">
        <v>44</v>
      </c>
      <c r="L57" s="3">
        <v>263</v>
      </c>
    </row>
    <row r="58" spans="1:12" x14ac:dyDescent="0.3">
      <c r="A58" s="1" t="s">
        <v>8</v>
      </c>
      <c r="B58" s="2">
        <v>479</v>
      </c>
      <c r="H58" s="1" t="s">
        <v>76</v>
      </c>
      <c r="K58" s="1" t="s">
        <v>8</v>
      </c>
      <c r="L58" s="3">
        <v>479</v>
      </c>
    </row>
    <row r="59" spans="1:12" x14ac:dyDescent="0.3">
      <c r="H59" s="1" t="s">
        <v>8</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626AA-822C-4D21-AAB0-416DCF13BDC6}">
  <dimension ref="C9:F11"/>
  <sheetViews>
    <sheetView zoomScaleNormal="100" workbookViewId="0">
      <selection activeCell="G21" sqref="G21"/>
    </sheetView>
  </sheetViews>
  <sheetFormatPr defaultRowHeight="14.4" x14ac:dyDescent="0.3"/>
  <cols>
    <col min="1" max="16384" width="8.88671875" style="12"/>
  </cols>
  <sheetData>
    <row r="9" spans="3:6" ht="14.4" customHeight="1" x14ac:dyDescent="0.3">
      <c r="C9" s="14" t="e">
        <f>'Pivot Report '!$A$44:$D$46</f>
        <v>#VALUE!</v>
      </c>
      <c r="D9" s="15"/>
      <c r="E9" s="15"/>
      <c r="F9" s="15"/>
    </row>
    <row r="10" spans="3:6" x14ac:dyDescent="0.3">
      <c r="C10" s="14"/>
      <c r="D10" s="14"/>
      <c r="E10" s="16"/>
      <c r="F10" s="15"/>
    </row>
    <row r="11" spans="3:6" x14ac:dyDescent="0.3">
      <c r="C11" s="14"/>
      <c r="D11" s="14"/>
      <c r="E11" s="16"/>
      <c r="F11" s="1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5D7CC-E3D2-484C-A97A-3408A32FAC0A}">
  <dimension ref="A1"/>
  <sheetViews>
    <sheetView workbookViewId="0">
      <selection activeCell="S13" sqref="S13"/>
    </sheetView>
  </sheetViews>
  <sheetFormatPr defaultRowHeight="14.4" x14ac:dyDescent="0.3"/>
  <cols>
    <col min="1" max="16384" width="8.88671875" style="13"/>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58510-ECEC-4117-8FD5-6AD5E969D3B1}">
  <dimension ref="A1"/>
  <sheetViews>
    <sheetView workbookViewId="0"/>
  </sheetViews>
  <sheetFormatPr defaultRowHeight="14.4" x14ac:dyDescent="0.3"/>
  <cols>
    <col min="1" max="16384" width="8.88671875" style="13"/>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A6DFE-C202-4DED-B9A5-5CE54DB7136B}">
  <dimension ref="A1"/>
  <sheetViews>
    <sheetView tabSelected="1" workbookViewId="0"/>
  </sheetViews>
  <sheetFormatPr defaultRowHeight="14.4" x14ac:dyDescent="0.3"/>
  <cols>
    <col min="1" max="16384" width="8.88671875" style="13"/>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75F21B-5057-4731-A97A-D11407DAC1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 </vt:lpstr>
      <vt:lpstr>Dashboard</vt:lpstr>
      <vt:lpstr>Satisfaction Score Daily Trend</vt:lpstr>
      <vt:lpstr>Average Wait Time Daily Trend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Kumar</dc:creator>
  <cp:lastModifiedBy>Shubham Kumar</cp:lastModifiedBy>
  <dcterms:created xsi:type="dcterms:W3CDTF">2026-01-08T03:41:46Z</dcterms:created>
  <dcterms:modified xsi:type="dcterms:W3CDTF">2026-01-08T12:16:09Z</dcterms:modified>
</cp:coreProperties>
</file>